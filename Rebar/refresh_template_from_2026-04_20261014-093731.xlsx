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Metadata" sheetId="1" state="visible" r:id="rId1"/>
    <sheet xmlns:r="http://schemas.openxmlformats.org/officeDocument/2006/relationships" name="DRI Inputs" sheetId="2" state="visible" r:id="rId2"/>
    <sheet xmlns:r="http://schemas.openxmlformats.org/officeDocument/2006/relationships" name="Billet Inputs" sheetId="3" state="visible" r:id="rId3"/>
    <sheet xmlns:r="http://schemas.openxmlformats.org/officeDocument/2006/relationships" name="Finished Products" sheetId="4" state="visible" r:id="rId4"/>
    <sheet xmlns:r="http://schemas.openxmlformats.org/officeDocument/2006/relationships" name="Sales" sheetId="5" state="visible" r:id="rId5"/>
    <sheet xmlns:r="http://schemas.openxmlformats.org/officeDocument/2006/relationships" name="Fixed Costs &amp; Capacity" sheetId="6" state="visible" r:id="rId6"/>
    <sheet xmlns:r="http://schemas.openxmlformats.org/officeDocument/2006/relationships" name="Intercompan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xSplit="1" ySplit="15" topLeftCell="B1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44" customWidth="1" min="1" max="1"/>
    <col width="16" customWidth="1" min="2" max="2"/>
    <col width="58" customWidth="1" min="3" max="3"/>
    <col width="24" customWidth="1" min="4" max="4"/>
    <col width="20" customWidth="1" min="5" max="5"/>
    <col width="16" customWidth="1" min="6" max="6"/>
    <col width="10" customWidth="1" min="7" max="7"/>
  </cols>
  <sheetData>
    <row r="1">
      <c r="A1" s="1" t="inlineStr">
        <is>
          <t>Ezz Steel model — monthly baseline refresh</t>
        </is>
      </c>
    </row>
    <row r="2">
      <c r="A2" t="inlineStr">
        <is>
          <t>Last month: Source: Baseline 2026-04 (month 2026-04)</t>
        </is>
      </c>
    </row>
    <row r="4">
      <c r="A4" s="2" t="inlineStr">
        <is>
          <t>Month label (YYYY-MM)</t>
        </is>
      </c>
      <c r="B4" t="inlineStr"/>
    </row>
    <row r="5">
      <c r="A5" s="2" t="inlineStr">
        <is>
          <t>Author</t>
        </is>
      </c>
      <c r="B5" t="inlineStr"/>
    </row>
    <row r="6">
      <c r="A6" s="2" t="inlineStr">
        <is>
          <t>Notes</t>
        </is>
      </c>
      <c r="B6" t="inlineStr"/>
    </row>
    <row r="8">
      <c r="A8" s="2" t="inlineStr">
        <is>
          <t>Sections changing this month (Yes / No)</t>
        </is>
      </c>
    </row>
    <row r="9">
      <c r="A9" t="inlineStr">
        <is>
          <t>DRI Inputs</t>
        </is>
      </c>
      <c r="B9" t="inlineStr"/>
    </row>
    <row r="10">
      <c r="A10" t="inlineStr">
        <is>
          <t>Billet Inputs</t>
        </is>
      </c>
      <c r="B10" t="inlineStr"/>
    </row>
    <row r="11">
      <c r="A11" t="inlineStr">
        <is>
          <t>Finished Products</t>
        </is>
      </c>
      <c r="B11" t="inlineStr"/>
    </row>
    <row r="12">
      <c r="A12" t="inlineStr">
        <is>
          <t>Sales</t>
        </is>
      </c>
      <c r="B12" t="inlineStr"/>
    </row>
    <row r="13">
      <c r="A13" t="inlineStr">
        <is>
          <t>Fixed Costs &amp; Capacity</t>
        </is>
      </c>
      <c r="B13" t="inlineStr"/>
    </row>
    <row r="14">
      <c r="A14" t="inlineStr">
        <is>
          <t>Intercompany</t>
        </is>
      </c>
      <c r="B14" t="inlineStr"/>
    </row>
    <row r="15">
      <c r="A15" s="3" t="inlineStr">
        <is>
          <t>Path</t>
        </is>
      </c>
      <c r="B15" s="3" t="inlineStr">
        <is>
          <t>Company / line</t>
        </is>
      </c>
      <c r="C15" s="3" t="inlineStr">
        <is>
          <t>Input</t>
        </is>
      </c>
      <c r="D15" s="3" t="inlineStr">
        <is>
          <t>Unit</t>
        </is>
      </c>
      <c r="E15" s="3" t="inlineStr">
        <is>
          <t>Last month (read-only)</t>
        </is>
      </c>
      <c r="F15" s="3" t="inlineStr">
        <is>
          <t>This month</t>
        </is>
      </c>
      <c r="G15" s="3" t="inlineStr">
        <is>
          <t>% change</t>
        </is>
      </c>
    </row>
    <row r="16">
      <c r="A16" s="4" t="inlineStr">
        <is>
          <t>fx_egp_per_usd</t>
        </is>
      </c>
      <c r="B16" s="4" t="inlineStr">
        <is>
          <t>Group</t>
        </is>
      </c>
      <c r="C16" s="4" t="inlineStr">
        <is>
          <t>fx egp per usd</t>
        </is>
      </c>
      <c r="D16" s="4" t="inlineStr"/>
      <c r="E16" s="4" t="n">
        <v>16.2</v>
      </c>
      <c r="F16" s="4" t="n"/>
      <c r="G16" s="5">
        <f>IF(OR(F16="",E16=0),"",F16/E16-1)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1" max="1"/>
    <col width="16" customWidth="1" min="2" max="2"/>
    <col width="58" customWidth="1" min="3" max="3"/>
    <col width="24" customWidth="1" min="4" max="4"/>
    <col width="20" customWidth="1" min="5" max="5"/>
    <col width="16" customWidth="1" min="6" max="6"/>
    <col width="10" customWidth="1" min="7" max="7"/>
  </cols>
  <sheetData>
    <row r="1">
      <c r="A1" s="3" t="inlineStr">
        <is>
          <t>Path</t>
        </is>
      </c>
      <c r="B1" s="3" t="inlineStr">
        <is>
          <t>Company / line</t>
        </is>
      </c>
      <c r="C1" s="3" t="inlineStr">
        <is>
          <t>Input</t>
        </is>
      </c>
      <c r="D1" s="3" t="inlineStr">
        <is>
          <t>Unit</t>
        </is>
      </c>
      <c r="E1" s="3" t="inlineStr">
        <is>
          <t>Last month (read-only)</t>
        </is>
      </c>
      <c r="F1" s="3" t="inlineStr">
        <is>
          <t>This month</t>
        </is>
      </c>
      <c r="G1" s="3" t="inlineStr">
        <is>
          <t>% change</t>
        </is>
      </c>
    </row>
    <row r="2">
      <c r="A2" s="4" t="inlineStr">
        <is>
          <t>dri.EZDK.iop_landed_usd_t</t>
        </is>
      </c>
      <c r="B2" s="4" t="inlineStr">
        <is>
          <t>EZDK</t>
        </is>
      </c>
      <c r="C2" s="4" t="inlineStr">
        <is>
          <t>iop landed usd t</t>
        </is>
      </c>
      <c r="D2" s="4" t="inlineStr">
        <is>
          <t>$/t</t>
        </is>
      </c>
      <c r="E2" s="4" t="n">
        <v>130</v>
      </c>
      <c r="F2" s="4" t="n"/>
      <c r="G2" s="5">
        <f>IF(OR(F2="",E2=0),"",F2/E2-1)</f>
        <v/>
      </c>
    </row>
    <row r="3">
      <c r="A3" s="4" t="inlineStr">
        <is>
          <t>dri.EZDK.ng_price_usd_mmbtu</t>
        </is>
      </c>
      <c r="B3" s="4" t="inlineStr">
        <is>
          <t>EZDK</t>
        </is>
      </c>
      <c r="C3" s="4" t="inlineStr">
        <is>
          <t>ng price usd mmbtu</t>
        </is>
      </c>
      <c r="D3" s="4" t="inlineStr"/>
      <c r="E3" s="4" t="n">
        <v>5.5</v>
      </c>
      <c r="F3" s="4" t="n"/>
      <c r="G3" s="5">
        <f>IF(OR(F3="",E3=0),"",F3/E3-1)</f>
        <v/>
      </c>
    </row>
    <row r="4">
      <c r="A4" s="4" t="inlineStr">
        <is>
          <t>dri.EZDK.mrmr</t>
        </is>
      </c>
      <c r="B4" s="4" t="inlineStr">
        <is>
          <t>EZDK</t>
        </is>
      </c>
      <c r="C4" s="4" t="inlineStr">
        <is>
          <t>mrmr</t>
        </is>
      </c>
      <c r="D4" s="4" t="inlineStr"/>
      <c r="E4" s="4" t="n">
        <v>1.5</v>
      </c>
      <c r="F4" s="4" t="n"/>
      <c r="G4" s="5">
        <f>IF(OR(F4="",E4=0),"",F4/E4-1)</f>
        <v/>
      </c>
    </row>
    <row r="5">
      <c r="A5" s="4" t="inlineStr">
        <is>
          <t>dri.EZDK.selling_price_le_t</t>
        </is>
      </c>
      <c r="B5" s="4" t="inlineStr">
        <is>
          <t>EZDK</t>
        </is>
      </c>
      <c r="C5" s="4" t="inlineStr">
        <is>
          <t>selling price le t</t>
        </is>
      </c>
      <c r="D5" s="4" t="inlineStr">
        <is>
          <t>LE/t</t>
        </is>
      </c>
      <c r="E5" s="4" t="n">
        <v>6465.413290254993</v>
      </c>
      <c r="F5" s="4" t="n"/>
      <c r="G5" s="5">
        <f>IF(OR(F5="",E5=0),"",F5/E5-1)</f>
        <v/>
      </c>
    </row>
    <row r="6">
      <c r="A6" s="4" t="inlineStr">
        <is>
          <t>dri.EZDK.consumption.electricity_kwh</t>
        </is>
      </c>
      <c r="B6" s="4" t="inlineStr">
        <is>
          <t>EZDK</t>
        </is>
      </c>
      <c r="C6" s="4" t="inlineStr">
        <is>
          <t>consumption · electricity kwh</t>
        </is>
      </c>
      <c r="D6" s="4" t="inlineStr"/>
      <c r="E6" s="4" t="n">
        <v>41.5875573743658</v>
      </c>
      <c r="F6" s="4" t="n"/>
      <c r="G6" s="5">
        <f>IF(OR(F6="",E6=0),"",F6/E6-1)</f>
        <v/>
      </c>
    </row>
    <row r="7">
      <c r="A7" s="4" t="inlineStr">
        <is>
          <t>dri.EZDK.consumption.natural_gas_nm3</t>
        </is>
      </c>
      <c r="B7" s="4" t="inlineStr">
        <is>
          <t>EZDK</t>
        </is>
      </c>
      <c r="C7" s="4" t="inlineStr">
        <is>
          <t>consumption · natural gas nm3</t>
        </is>
      </c>
      <c r="D7" s="4" t="inlineStr"/>
      <c r="E7" s="4" t="n">
        <v>292.58</v>
      </c>
      <c r="F7" s="4" t="n"/>
      <c r="G7" s="5">
        <f>IF(OR(F7="",E7=0),"",F7/E7-1)</f>
        <v/>
      </c>
    </row>
    <row r="8">
      <c r="A8" s="4" t="inlineStr">
        <is>
          <t>dri.EZDK.consumption.oxygen_nm3</t>
        </is>
      </c>
      <c r="B8" s="4" t="inlineStr">
        <is>
          <t>EZDK</t>
        </is>
      </c>
      <c r="C8" s="4" t="inlineStr">
        <is>
          <t>consumption · oxygen nm3</t>
        </is>
      </c>
      <c r="D8" s="4" t="inlineStr"/>
      <c r="E8" s="4" t="n">
        <v>14.35373197407674</v>
      </c>
      <c r="F8" s="4" t="n"/>
      <c r="G8" s="5">
        <f>IF(OR(F8="",E8=0),"",F8/E8-1)</f>
        <v/>
      </c>
    </row>
    <row r="9">
      <c r="A9" s="4" t="inlineStr">
        <is>
          <t>dri.EZDK.consumption.nitrogen_nm3</t>
        </is>
      </c>
      <c r="B9" s="4" t="inlineStr">
        <is>
          <t>EZDK</t>
        </is>
      </c>
      <c r="C9" s="4" t="inlineStr">
        <is>
          <t>consumption · nitrogen nm3</t>
        </is>
      </c>
      <c r="D9" s="4" t="inlineStr"/>
      <c r="E9" s="4" t="n">
        <v>23.73323944371103</v>
      </c>
      <c r="F9" s="4" t="n"/>
      <c r="G9" s="5">
        <f>IF(OR(F9="",E9=0),"",F9/E9-1)</f>
        <v/>
      </c>
    </row>
    <row r="10">
      <c r="A10" s="4" t="inlineStr">
        <is>
          <t>dri.EZDK.consumption.water_nm3</t>
        </is>
      </c>
      <c r="B10" s="4" t="inlineStr">
        <is>
          <t>EZDK</t>
        </is>
      </c>
      <c r="C10" s="4" t="inlineStr">
        <is>
          <t>consumption · water nm3</t>
        </is>
      </c>
      <c r="D10" s="4" t="inlineStr"/>
      <c r="E10" s="4" t="n">
        <v>1.175057709437852</v>
      </c>
      <c r="F10" s="4" t="n"/>
      <c r="G10" s="5">
        <f>IF(OR(F10="",E10=0),"",F10/E10-1)</f>
        <v/>
      </c>
    </row>
    <row r="11">
      <c r="A11" s="4" t="inlineStr">
        <is>
          <t>dri.EZDK.consumption.chemicals_t</t>
        </is>
      </c>
      <c r="B11" s="4" t="inlineStr">
        <is>
          <t>EZDK</t>
        </is>
      </c>
      <c r="C11" s="4" t="inlineStr">
        <is>
          <t>consumption · chemicals t</t>
        </is>
      </c>
      <c r="D11" s="4" t="inlineStr"/>
      <c r="E11" s="4" t="n">
        <v>1</v>
      </c>
      <c r="F11" s="4" t="n"/>
      <c r="G11" s="5">
        <f>IF(OR(F11="",E11=0),"",F11/E11-1)</f>
        <v/>
      </c>
    </row>
    <row r="12">
      <c r="A12" s="4" t="inlineStr">
        <is>
          <t>dri.EZDK.consumption.spare_parts_t</t>
        </is>
      </c>
      <c r="B12" s="4" t="inlineStr">
        <is>
          <t>EZDK</t>
        </is>
      </c>
      <c r="C12" s="4" t="inlineStr">
        <is>
          <t>consumption · spare parts t</t>
        </is>
      </c>
      <c r="D12" s="4" t="inlineStr"/>
      <c r="E12" s="4" t="n">
        <v>0</v>
      </c>
      <c r="F12" s="4" t="n"/>
      <c r="G12" s="5">
        <f>IF(OR(F12="",E12=0),"",F12/E12-1)</f>
        <v/>
      </c>
    </row>
    <row r="13">
      <c r="A13" s="4" t="inlineStr">
        <is>
          <t>dri.EZDK.consumption.external_services_t</t>
        </is>
      </c>
      <c r="B13" s="4" t="inlineStr">
        <is>
          <t>EZDK</t>
        </is>
      </c>
      <c r="C13" s="4" t="inlineStr">
        <is>
          <t>consumption · external services t</t>
        </is>
      </c>
      <c r="D13" s="4" t="inlineStr"/>
      <c r="E13" s="4" t="n">
        <v>1</v>
      </c>
      <c r="F13" s="4" t="n"/>
      <c r="G13" s="5">
        <f>IF(OR(F13="",E13=0),"",F13/E13-1)</f>
        <v/>
      </c>
    </row>
    <row r="14">
      <c r="A14" s="4" t="inlineStr">
        <is>
          <t>dri.EZDK.consumption.other_t</t>
        </is>
      </c>
      <c r="B14" s="4" t="inlineStr">
        <is>
          <t>EZDK</t>
        </is>
      </c>
      <c r="C14" s="4" t="inlineStr">
        <is>
          <t>consumption · other t</t>
        </is>
      </c>
      <c r="D14" s="4" t="inlineStr"/>
      <c r="E14" s="4" t="n">
        <v>1</v>
      </c>
      <c r="F14" s="4" t="n"/>
      <c r="G14" s="5">
        <f>IF(OR(F14="",E14=0),"",F14/E14-1)</f>
        <v/>
      </c>
    </row>
    <row r="15">
      <c r="A15" s="4" t="inlineStr">
        <is>
          <t>dri.EZDK.prices_le.electricity_kwh</t>
        </is>
      </c>
      <c r="B15" s="4" t="inlineStr">
        <is>
          <t>EZDK</t>
        </is>
      </c>
      <c r="C15" s="4" t="inlineStr">
        <is>
          <t>prices le · electricity kwh</t>
        </is>
      </c>
      <c r="D15" s="4" t="inlineStr"/>
      <c r="E15" s="4" t="n">
        <v>0.9046276532269849</v>
      </c>
      <c r="F15" s="4" t="n"/>
      <c r="G15" s="5">
        <f>IF(OR(F15="",E15=0),"",F15/E15-1)</f>
        <v/>
      </c>
    </row>
    <row r="16">
      <c r="A16" s="4" t="inlineStr">
        <is>
          <t>dri.EZDK.prices_le.oxygen_nm3</t>
        </is>
      </c>
      <c r="B16" s="4" t="inlineStr">
        <is>
          <t>EZDK</t>
        </is>
      </c>
      <c r="C16" s="4" t="inlineStr">
        <is>
          <t>prices le · oxygen nm3</t>
        </is>
      </c>
      <c r="D16" s="4" t="inlineStr"/>
      <c r="E16" s="4" t="n">
        <v>0.0001711771274817082</v>
      </c>
      <c r="F16" s="4" t="n"/>
      <c r="G16" s="5">
        <f>IF(OR(F16="",E16=0),"",F16/E16-1)</f>
        <v/>
      </c>
    </row>
    <row r="17">
      <c r="A17" s="4" t="inlineStr">
        <is>
          <t>dri.EZDK.prices_le.nitrogen_nm3</t>
        </is>
      </c>
      <c r="B17" s="4" t="inlineStr">
        <is>
          <t>EZDK</t>
        </is>
      </c>
      <c r="C17" s="4" t="inlineStr">
        <is>
          <t>prices le · nitrogen nm3</t>
        </is>
      </c>
      <c r="D17" s="4" t="inlineStr"/>
      <c r="E17" s="4" t="n">
        <v>0.6568663968622589</v>
      </c>
      <c r="F17" s="4" t="n"/>
      <c r="G17" s="5">
        <f>IF(OR(F17="",E17=0),"",F17/E17-1)</f>
        <v/>
      </c>
    </row>
    <row r="18">
      <c r="A18" s="4" t="inlineStr">
        <is>
          <t>dri.EZDK.prices_le.water_nm3</t>
        </is>
      </c>
      <c r="B18" s="4" t="inlineStr">
        <is>
          <t>EZDK</t>
        </is>
      </c>
      <c r="C18" s="4" t="inlineStr">
        <is>
          <t>prices le · water nm3</t>
        </is>
      </c>
      <c r="D18" s="4" t="inlineStr"/>
      <c r="E18" s="4" t="n">
        <v>3.978573060121251</v>
      </c>
      <c r="F18" s="4" t="n"/>
      <c r="G18" s="5">
        <f>IF(OR(F18="",E18=0),"",F18/E18-1)</f>
        <v/>
      </c>
    </row>
    <row r="19">
      <c r="A19" s="4" t="inlineStr">
        <is>
          <t>dri.EZDK.prices_le.chemicals_t</t>
        </is>
      </c>
      <c r="B19" s="4" t="inlineStr">
        <is>
          <t>EZDK</t>
        </is>
      </c>
      <c r="C19" s="4" t="inlineStr">
        <is>
          <t>prices le · chemicals t</t>
        </is>
      </c>
      <c r="D19" s="4" t="inlineStr"/>
      <c r="E19" s="4" t="n">
        <v>24.77863512161735</v>
      </c>
      <c r="F19" s="4" t="n"/>
      <c r="G19" s="5">
        <f>IF(OR(F19="",E19=0),"",F19/E19-1)</f>
        <v/>
      </c>
    </row>
    <row r="20">
      <c r="A20" s="4" t="inlineStr">
        <is>
          <t>dri.EZDK.prices_le.spare_parts_t</t>
        </is>
      </c>
      <c r="B20" s="4" t="inlineStr">
        <is>
          <t>EZDK</t>
        </is>
      </c>
      <c r="C20" s="4" t="inlineStr">
        <is>
          <t>prices le · spare parts t</t>
        </is>
      </c>
      <c r="D20" s="4" t="inlineStr"/>
      <c r="E20" s="4" t="n">
        <v>0</v>
      </c>
      <c r="F20" s="4" t="n"/>
      <c r="G20" s="5">
        <f>IF(OR(F20="",E20=0),"",F20/E20-1)</f>
        <v/>
      </c>
    </row>
    <row r="21">
      <c r="A21" s="4" t="inlineStr">
        <is>
          <t>dri.EZDK.prices_le.external_services_t</t>
        </is>
      </c>
      <c r="B21" s="4" t="inlineStr">
        <is>
          <t>EZDK</t>
        </is>
      </c>
      <c r="C21" s="4" t="inlineStr">
        <is>
          <t>prices le · external services t</t>
        </is>
      </c>
      <c r="D21" s="4" t="inlineStr"/>
      <c r="E21" s="4" t="n">
        <v>42.72429853715492</v>
      </c>
      <c r="F21" s="4" t="n"/>
      <c r="G21" s="5">
        <f>IF(OR(F21="",E21=0),"",F21/E21-1)</f>
        <v/>
      </c>
    </row>
    <row r="22">
      <c r="A22" s="4" t="inlineStr">
        <is>
          <t>dri.EZDK.prices_le.other_t</t>
        </is>
      </c>
      <c r="B22" s="4" t="inlineStr">
        <is>
          <t>EZDK</t>
        </is>
      </c>
      <c r="C22" s="4" t="inlineStr">
        <is>
          <t>prices le · other t</t>
        </is>
      </c>
      <c r="D22" s="4" t="inlineStr"/>
      <c r="E22" s="4" t="n">
        <v>35.80221659634518</v>
      </c>
      <c r="F22" s="4" t="n"/>
      <c r="G22" s="5">
        <f>IF(OR(F22="",E22=0),"",F22/E22-1)</f>
        <v/>
      </c>
    </row>
    <row r="23">
      <c r="A23" s="4" t="inlineStr">
        <is>
          <t>dri.EZDK.fixed_le.labor</t>
        </is>
      </c>
      <c r="B23" s="4" t="inlineStr">
        <is>
          <t>EZDK</t>
        </is>
      </c>
      <c r="C23" s="4" t="inlineStr">
        <is>
          <t>fixed le · labor</t>
        </is>
      </c>
      <c r="D23" s="4" t="inlineStr"/>
      <c r="E23" s="4" t="n">
        <v>54011351.91</v>
      </c>
      <c r="F23" s="4" t="n"/>
      <c r="G23" s="5">
        <f>IF(OR(F23="",E23=0),"",F23/E23-1)</f>
        <v/>
      </c>
    </row>
    <row r="24">
      <c r="A24" s="4" t="inlineStr">
        <is>
          <t>dri.EZDK.fixed_le.depreciation</t>
        </is>
      </c>
      <c r="B24" s="4" t="inlineStr">
        <is>
          <t>EZDK</t>
        </is>
      </c>
      <c r="C24" s="4" t="inlineStr">
        <is>
          <t>fixed le · depreciation</t>
        </is>
      </c>
      <c r="D24" s="4" t="inlineStr"/>
      <c r="E24" s="4" t="n">
        <v>239746417.14</v>
      </c>
      <c r="F24" s="4" t="n"/>
      <c r="G24" s="5">
        <f>IF(OR(F24="",E24=0),"",F24/E24-1)</f>
        <v/>
      </c>
    </row>
    <row r="25">
      <c r="A25" s="4" t="inlineStr">
        <is>
          <t>dri.EZDK.fixed_le.other_fixed</t>
        </is>
      </c>
      <c r="B25" s="4" t="inlineStr">
        <is>
          <t>EZDK</t>
        </is>
      </c>
      <c r="C25" s="4" t="inlineStr">
        <is>
          <t>fixed le · other fixed</t>
        </is>
      </c>
      <c r="D25" s="4" t="inlineStr"/>
      <c r="E25" s="4" t="n">
        <v>54242037.00000002</v>
      </c>
      <c r="F25" s="4" t="n"/>
      <c r="G25" s="5">
        <f>IF(OR(F25="",E25=0),"",F25/E25-1)</f>
        <v/>
      </c>
    </row>
    <row r="26">
      <c r="A26" s="4" t="inlineStr">
        <is>
          <t>dri.ERM.iop_landed_usd_t</t>
        </is>
      </c>
      <c r="B26" s="4" t="inlineStr">
        <is>
          <t>ERM</t>
        </is>
      </c>
      <c r="C26" s="4" t="inlineStr">
        <is>
          <t>iop landed usd t</t>
        </is>
      </c>
      <c r="D26" s="4" t="inlineStr">
        <is>
          <t>$/t</t>
        </is>
      </c>
      <c r="E26" s="4" t="n">
        <v>136.62</v>
      </c>
      <c r="F26" s="4" t="n"/>
      <c r="G26" s="5">
        <f>IF(OR(F26="",E26=0),"",F26/E26-1)</f>
        <v/>
      </c>
    </row>
    <row r="27">
      <c r="A27" s="4" t="inlineStr">
        <is>
          <t>dri.ERM.ng_price_usd_mmbtu</t>
        </is>
      </c>
      <c r="B27" s="4" t="inlineStr">
        <is>
          <t>ERM</t>
        </is>
      </c>
      <c r="C27" s="4" t="inlineStr">
        <is>
          <t>ng price usd mmbtu</t>
        </is>
      </c>
      <c r="D27" s="4" t="inlineStr"/>
      <c r="E27" s="4" t="n">
        <v>5.5</v>
      </c>
      <c r="F27" s="4" t="n"/>
      <c r="G27" s="5">
        <f>IF(OR(F27="",E27=0),"",F27/E27-1)</f>
        <v/>
      </c>
    </row>
    <row r="28">
      <c r="A28" s="4" t="inlineStr">
        <is>
          <t>dri.ERM.mrmr</t>
        </is>
      </c>
      <c r="B28" s="4" t="inlineStr">
        <is>
          <t>ERM</t>
        </is>
      </c>
      <c r="C28" s="4" t="inlineStr">
        <is>
          <t>mrmr</t>
        </is>
      </c>
      <c r="D28" s="4" t="inlineStr"/>
      <c r="E28" s="4" t="n">
        <v>1.43</v>
      </c>
      <c r="F28" s="4" t="n"/>
      <c r="G28" s="5">
        <f>IF(OR(F28="",E28=0),"",F28/E28-1)</f>
        <v/>
      </c>
    </row>
    <row r="29">
      <c r="A29" s="4" t="inlineStr">
        <is>
          <t>dri.ERM.selling_price_le_t</t>
        </is>
      </c>
      <c r="B29" s="4" t="inlineStr">
        <is>
          <t>ERM</t>
        </is>
      </c>
      <c r="C29" s="4" t="inlineStr">
        <is>
          <t>selling price le t</t>
        </is>
      </c>
      <c r="D29" s="4" t="inlineStr">
        <is>
          <t>LE/t</t>
        </is>
      </c>
      <c r="E29" s="4" t="n">
        <v>6465.413290254993</v>
      </c>
      <c r="F29" s="4" t="n"/>
      <c r="G29" s="5">
        <f>IF(OR(F29="",E29=0),"",F29/E29-1)</f>
        <v/>
      </c>
    </row>
    <row r="30">
      <c r="A30" s="4" t="inlineStr">
        <is>
          <t>dri.ERM.consumption.electricity_kwh</t>
        </is>
      </c>
      <c r="B30" s="4" t="inlineStr">
        <is>
          <t>ERM</t>
        </is>
      </c>
      <c r="C30" s="4" t="inlineStr">
        <is>
          <t>consumption · electricity kwh</t>
        </is>
      </c>
      <c r="D30" s="4" t="inlineStr"/>
      <c r="E30" s="4" t="n">
        <v>27.12449816721129</v>
      </c>
      <c r="F30" s="4" t="n"/>
      <c r="G30" s="5">
        <f>IF(OR(F30="",E30=0),"",F30/E30-1)</f>
        <v/>
      </c>
    </row>
    <row r="31">
      <c r="A31" s="4" t="inlineStr">
        <is>
          <t>dri.ERM.consumption.natural_gas_nm3</t>
        </is>
      </c>
      <c r="B31" s="4" t="inlineStr">
        <is>
          <t>ERM</t>
        </is>
      </c>
      <c r="C31" s="4" t="inlineStr">
        <is>
          <t>consumption · natural gas nm3</t>
        </is>
      </c>
      <c r="D31" s="4" t="inlineStr"/>
      <c r="E31" s="4" t="n">
        <v>333</v>
      </c>
      <c r="F31" s="4" t="n"/>
      <c r="G31" s="5">
        <f>IF(OR(F31="",E31=0),"",F31/E31-1)</f>
        <v/>
      </c>
    </row>
    <row r="32">
      <c r="A32" s="4" t="inlineStr">
        <is>
          <t>dri.ERM.consumption.oxygen_nm3</t>
        </is>
      </c>
      <c r="B32" s="4" t="inlineStr">
        <is>
          <t>ERM</t>
        </is>
      </c>
      <c r="C32" s="4" t="inlineStr">
        <is>
          <t>consumption · oxygen nm3</t>
        </is>
      </c>
      <c r="D32" s="4" t="inlineStr"/>
      <c r="E32" s="4" t="n">
        <v>14.35373197407674</v>
      </c>
      <c r="F32" s="4" t="n"/>
      <c r="G32" s="5">
        <f>IF(OR(F32="",E32=0),"",F32/E32-1)</f>
        <v/>
      </c>
    </row>
    <row r="33">
      <c r="A33" s="4" t="inlineStr">
        <is>
          <t>dri.ERM.consumption.nitrogen_nm3</t>
        </is>
      </c>
      <c r="B33" s="4" t="inlineStr">
        <is>
          <t>ERM</t>
        </is>
      </c>
      <c r="C33" s="4" t="inlineStr">
        <is>
          <t>consumption · nitrogen nm3</t>
        </is>
      </c>
      <c r="D33" s="4" t="inlineStr"/>
      <c r="E33" s="4" t="n">
        <v>15.47944266112939</v>
      </c>
      <c r="F33" s="4" t="n"/>
      <c r="G33" s="5">
        <f>IF(OR(F33="",E33=0),"",F33/E33-1)</f>
        <v/>
      </c>
    </row>
    <row r="34">
      <c r="A34" s="4" t="inlineStr">
        <is>
          <t>dri.ERM.consumption.water_nm3</t>
        </is>
      </c>
      <c r="B34" s="4" t="inlineStr">
        <is>
          <t>ERM</t>
        </is>
      </c>
      <c r="C34" s="4" t="inlineStr">
        <is>
          <t>consumption · water nm3</t>
        </is>
      </c>
      <c r="D34" s="4" t="inlineStr"/>
      <c r="E34" s="4" t="n">
        <v>1.175057709437852</v>
      </c>
      <c r="F34" s="4" t="n"/>
      <c r="G34" s="5">
        <f>IF(OR(F34="",E34=0),"",F34/E34-1)</f>
        <v/>
      </c>
    </row>
    <row r="35">
      <c r="A35" s="4" t="inlineStr">
        <is>
          <t>dri.ERM.consumption.chemicals_t</t>
        </is>
      </c>
      <c r="B35" s="4" t="inlineStr">
        <is>
          <t>ERM</t>
        </is>
      </c>
      <c r="C35" s="4" t="inlineStr">
        <is>
          <t>consumption · chemicals t</t>
        </is>
      </c>
      <c r="D35" s="4" t="inlineStr"/>
      <c r="E35" s="4" t="n">
        <v>0.6522262878543217</v>
      </c>
      <c r="F35" s="4" t="n"/>
      <c r="G35" s="5">
        <f>IF(OR(F35="",E35=0),"",F35/E35-1)</f>
        <v/>
      </c>
    </row>
    <row r="36">
      <c r="A36" s="4" t="inlineStr">
        <is>
          <t>dri.ERM.consumption.spare_parts_t</t>
        </is>
      </c>
      <c r="B36" s="4" t="inlineStr">
        <is>
          <t>ERM</t>
        </is>
      </c>
      <c r="C36" s="4" t="inlineStr">
        <is>
          <t>consumption · spare parts t</t>
        </is>
      </c>
      <c r="D36" s="4" t="inlineStr"/>
      <c r="E36" s="4" t="n">
        <v>0</v>
      </c>
      <c r="F36" s="4" t="n"/>
      <c r="G36" s="5">
        <f>IF(OR(F36="",E36=0),"",F36/E36-1)</f>
        <v/>
      </c>
    </row>
    <row r="37">
      <c r="A37" s="4" t="inlineStr">
        <is>
          <t>dri.ERM.consumption.external_services_t</t>
        </is>
      </c>
      <c r="B37" s="4" t="inlineStr">
        <is>
          <t>ERM</t>
        </is>
      </c>
      <c r="C37" s="4" t="inlineStr">
        <is>
          <t>consumption · external services t</t>
        </is>
      </c>
      <c r="D37" s="4" t="inlineStr"/>
      <c r="E37" s="4" t="n">
        <v>0.6114531780610131</v>
      </c>
      <c r="F37" s="4" t="n"/>
      <c r="G37" s="5">
        <f>IF(OR(F37="",E37=0),"",F37/E37-1)</f>
        <v/>
      </c>
    </row>
    <row r="38">
      <c r="A38" s="4" t="inlineStr">
        <is>
          <t>dri.ERM.consumption.other_t</t>
        </is>
      </c>
      <c r="B38" s="4" t="inlineStr">
        <is>
          <t>ERM</t>
        </is>
      </c>
      <c r="C38" s="4" t="inlineStr">
        <is>
          <t>consumption · other t</t>
        </is>
      </c>
      <c r="D38" s="4" t="inlineStr"/>
      <c r="E38" s="4" t="n">
        <v>1</v>
      </c>
      <c r="F38" s="4" t="n"/>
      <c r="G38" s="5">
        <f>IF(OR(F38="",E38=0),"",F38/E38-1)</f>
        <v/>
      </c>
    </row>
    <row r="39">
      <c r="A39" s="4" t="inlineStr">
        <is>
          <t>dri.ERM.prices_le.electricity_kwh</t>
        </is>
      </c>
      <c r="B39" s="4" t="inlineStr">
        <is>
          <t>ERM</t>
        </is>
      </c>
      <c r="C39" s="4" t="inlineStr">
        <is>
          <t>prices le · electricity kwh</t>
        </is>
      </c>
      <c r="D39" s="4" t="inlineStr"/>
      <c r="E39" s="4" t="n">
        <v>0.9046276532269849</v>
      </c>
      <c r="F39" s="4" t="n"/>
      <c r="G39" s="5">
        <f>IF(OR(F39="",E39=0),"",F39/E39-1)</f>
        <v/>
      </c>
    </row>
    <row r="40">
      <c r="A40" s="4" t="inlineStr">
        <is>
          <t>dri.ERM.prices_le.oxygen_nm3</t>
        </is>
      </c>
      <c r="B40" s="4" t="inlineStr">
        <is>
          <t>ERM</t>
        </is>
      </c>
      <c r="C40" s="4" t="inlineStr">
        <is>
          <t>prices le · oxygen nm3</t>
        </is>
      </c>
      <c r="D40" s="4" t="inlineStr"/>
      <c r="E40" s="4" t="n">
        <v>0.0001711771274817082</v>
      </c>
      <c r="F40" s="4" t="n"/>
      <c r="G40" s="5">
        <f>IF(OR(F40="",E40=0),"",F40/E40-1)</f>
        <v/>
      </c>
    </row>
    <row r="41">
      <c r="A41" s="4" t="inlineStr">
        <is>
          <t>dri.ERM.prices_le.nitrogen_nm3</t>
        </is>
      </c>
      <c r="B41" s="4" t="inlineStr">
        <is>
          <t>ERM</t>
        </is>
      </c>
      <c r="C41" s="4" t="inlineStr">
        <is>
          <t>prices le · nitrogen nm3</t>
        </is>
      </c>
      <c r="D41" s="4" t="inlineStr"/>
      <c r="E41" s="4" t="n">
        <v>0.6568663968622589</v>
      </c>
      <c r="F41" s="4" t="n"/>
      <c r="G41" s="5">
        <f>IF(OR(F41="",E41=0),"",F41/E41-1)</f>
        <v/>
      </c>
    </row>
    <row r="42">
      <c r="A42" s="4" t="inlineStr">
        <is>
          <t>dri.ERM.prices_le.water_nm3</t>
        </is>
      </c>
      <c r="B42" s="4" t="inlineStr">
        <is>
          <t>ERM</t>
        </is>
      </c>
      <c r="C42" s="4" t="inlineStr">
        <is>
          <t>prices le · water nm3</t>
        </is>
      </c>
      <c r="D42" s="4" t="inlineStr"/>
      <c r="E42" s="4" t="n">
        <v>3.889099543957877</v>
      </c>
      <c r="F42" s="4" t="n"/>
      <c r="G42" s="5">
        <f>IF(OR(F42="",E42=0),"",F42/E42-1)</f>
        <v/>
      </c>
    </row>
    <row r="43">
      <c r="A43" s="4" t="inlineStr">
        <is>
          <t>dri.ERM.prices_le.chemicals_t</t>
        </is>
      </c>
      <c r="B43" s="4" t="inlineStr">
        <is>
          <t>ERM</t>
        </is>
      </c>
      <c r="C43" s="4" t="inlineStr">
        <is>
          <t>prices le · chemicals t</t>
        </is>
      </c>
      <c r="D43" s="4" t="inlineStr"/>
      <c r="E43" s="4" t="n">
        <v>24.77863512161735</v>
      </c>
      <c r="F43" s="4" t="n"/>
      <c r="G43" s="5">
        <f>IF(OR(F43="",E43=0),"",F43/E43-1)</f>
        <v/>
      </c>
    </row>
    <row r="44">
      <c r="A44" s="4" t="inlineStr">
        <is>
          <t>dri.ERM.prices_le.spare_parts_t</t>
        </is>
      </c>
      <c r="B44" s="4" t="inlineStr">
        <is>
          <t>ERM</t>
        </is>
      </c>
      <c r="C44" s="4" t="inlineStr">
        <is>
          <t>prices le · spare parts t</t>
        </is>
      </c>
      <c r="D44" s="4" t="inlineStr"/>
      <c r="E44" s="4" t="n">
        <v>0</v>
      </c>
      <c r="F44" s="4" t="n"/>
      <c r="G44" s="5">
        <f>IF(OR(F44="",E44=0),"",F44/E44-1)</f>
        <v/>
      </c>
    </row>
    <row r="45">
      <c r="A45" s="4" t="inlineStr">
        <is>
          <t>dri.ERM.prices_le.external_services_t</t>
        </is>
      </c>
      <c r="B45" s="4" t="inlineStr">
        <is>
          <t>ERM</t>
        </is>
      </c>
      <c r="C45" s="4" t="inlineStr">
        <is>
          <t>prices le · external services t</t>
        </is>
      </c>
      <c r="D45" s="4" t="inlineStr"/>
      <c r="E45" s="4" t="n">
        <v>39</v>
      </c>
      <c r="F45" s="4" t="n"/>
      <c r="G45" s="5">
        <f>IF(OR(F45="",E45=0),"",F45/E45-1)</f>
        <v/>
      </c>
    </row>
    <row r="46">
      <c r="A46" s="4" t="inlineStr">
        <is>
          <t>dri.ERM.prices_le.other_t</t>
        </is>
      </c>
      <c r="B46" s="4" t="inlineStr">
        <is>
          <t>ERM</t>
        </is>
      </c>
      <c r="C46" s="4" t="inlineStr">
        <is>
          <t>prices le · other t</t>
        </is>
      </c>
      <c r="D46" s="4" t="inlineStr"/>
      <c r="E46" s="4" t="n">
        <v>0</v>
      </c>
      <c r="F46" s="4" t="n"/>
      <c r="G46" s="5">
        <f>IF(OR(F46="",E46=0),"",F46/E46-1)</f>
        <v/>
      </c>
    </row>
    <row r="47">
      <c r="A47" s="4" t="inlineStr">
        <is>
          <t>dri.ERM.fixed_le.labor</t>
        </is>
      </c>
      <c r="B47" s="4" t="inlineStr">
        <is>
          <t>ERM</t>
        </is>
      </c>
      <c r="C47" s="4" t="inlineStr">
        <is>
          <t>fixed le · labor</t>
        </is>
      </c>
      <c r="D47" s="4" t="inlineStr"/>
      <c r="E47" s="4" t="n">
        <v>54011351.91</v>
      </c>
      <c r="F47" s="4" t="n"/>
      <c r="G47" s="5">
        <f>IF(OR(F47="",E47=0),"",F47/E47-1)</f>
        <v/>
      </c>
    </row>
    <row r="48">
      <c r="A48" s="4" t="inlineStr">
        <is>
          <t>dri.ERM.fixed_le.depreciation</t>
        </is>
      </c>
      <c r="B48" s="4" t="inlineStr">
        <is>
          <t>ERM</t>
        </is>
      </c>
      <c r="C48" s="4" t="inlineStr">
        <is>
          <t>fixed le · depreciation</t>
        </is>
      </c>
      <c r="D48" s="4" t="inlineStr"/>
      <c r="E48" s="4" t="n">
        <v>239746417.14</v>
      </c>
      <c r="F48" s="4" t="n"/>
      <c r="G48" s="5">
        <f>IF(OR(F48="",E48=0),"",F48/E48-1)</f>
        <v/>
      </c>
    </row>
    <row r="49">
      <c r="A49" s="4" t="inlineStr">
        <is>
          <t>dri.ERM.fixed_le.other_fixed</t>
        </is>
      </c>
      <c r="B49" s="4" t="inlineStr">
        <is>
          <t>ERM</t>
        </is>
      </c>
      <c r="C49" s="4" t="inlineStr">
        <is>
          <t>fixed le · other fixed</t>
        </is>
      </c>
      <c r="D49" s="4" t="inlineStr"/>
      <c r="E49" s="4" t="n">
        <v>54242037.00000002</v>
      </c>
      <c r="F49" s="4" t="n"/>
      <c r="G49" s="5">
        <f>IF(OR(F49="",E49=0),"",F49/E49-1)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1" max="1"/>
    <col width="16" customWidth="1" min="2" max="2"/>
    <col width="58" customWidth="1" min="3" max="3"/>
    <col width="24" customWidth="1" min="4" max="4"/>
    <col width="20" customWidth="1" min="5" max="5"/>
    <col width="16" customWidth="1" min="6" max="6"/>
    <col width="10" customWidth="1" min="7" max="7"/>
  </cols>
  <sheetData>
    <row r="1">
      <c r="A1" s="3" t="inlineStr">
        <is>
          <t>Path</t>
        </is>
      </c>
      <c r="B1" s="3" t="inlineStr">
        <is>
          <t>Company / line</t>
        </is>
      </c>
      <c r="C1" s="3" t="inlineStr">
        <is>
          <t>Input</t>
        </is>
      </c>
      <c r="D1" s="3" t="inlineStr">
        <is>
          <t>Unit</t>
        </is>
      </c>
      <c r="E1" s="3" t="inlineStr">
        <is>
          <t>Last month (read-only)</t>
        </is>
      </c>
      <c r="F1" s="3" t="inlineStr">
        <is>
          <t>This month</t>
        </is>
      </c>
      <c r="G1" s="3" t="inlineStr">
        <is>
          <t>% change</t>
        </is>
      </c>
      <c r="I1" t="inlineStr">
        <is>
          <t>ERM has no furnace — it buys billets, so it has no rows here.</t>
        </is>
      </c>
    </row>
    <row r="2">
      <c r="A2" s="4" t="inlineStr">
        <is>
          <t>billet.companies.EZDK.local_scrap_usd_t</t>
        </is>
      </c>
      <c r="B2" s="4" t="inlineStr">
        <is>
          <t>EZDK</t>
        </is>
      </c>
      <c r="C2" s="4" t="inlineStr">
        <is>
          <t>local scrap usd t</t>
        </is>
      </c>
      <c r="D2" s="4" t="inlineStr">
        <is>
          <t>$/t</t>
        </is>
      </c>
      <c r="E2" s="4" t="n">
        <v>300</v>
      </c>
      <c r="F2" s="4" t="n"/>
      <c r="G2" s="5">
        <f>IF(OR(F2="",E2=0),"",F2/E2-1)</f>
        <v/>
      </c>
      <c r="H2" s="4" t="n"/>
      <c r="I2" s="4" t="n"/>
    </row>
    <row r="3">
      <c r="A3" s="4" t="inlineStr">
        <is>
          <t>billet.companies.EZDK.imported_scrap_usd_t</t>
        </is>
      </c>
      <c r="B3" s="4" t="inlineStr">
        <is>
          <t>EZDK</t>
        </is>
      </c>
      <c r="C3" s="4" t="inlineStr">
        <is>
          <t>imported scrap usd t</t>
        </is>
      </c>
      <c r="D3" s="4" t="inlineStr">
        <is>
          <t>$/t</t>
        </is>
      </c>
      <c r="E3" s="4" t="n">
        <v>300</v>
      </c>
      <c r="F3" s="4" t="n"/>
      <c r="G3" s="5">
        <f>IF(OR(F3="",E3=0),"",F3/E3-1)</f>
        <v/>
      </c>
      <c r="H3" s="4" t="n"/>
      <c r="I3" s="4" t="n"/>
    </row>
    <row r="4">
      <c r="A4" s="4" t="inlineStr">
        <is>
          <t>billet.companies.EZDK.electricity_usd_kwh</t>
        </is>
      </c>
      <c r="B4" s="4" t="inlineStr">
        <is>
          <t>EZDK</t>
        </is>
      </c>
      <c r="C4" s="4" t="inlineStr">
        <is>
          <t>electricity usd kwh</t>
        </is>
      </c>
      <c r="D4" s="4" t="inlineStr"/>
      <c r="E4" s="4" t="n">
        <v>0.07000000000000001</v>
      </c>
      <c r="F4" s="4" t="n"/>
      <c r="G4" s="5">
        <f>IF(OR(F4="",E4=0),"",F4/E4-1)</f>
        <v/>
      </c>
      <c r="H4" s="4" t="n"/>
      <c r="I4" s="4" t="n"/>
    </row>
    <row r="5">
      <c r="A5" s="4" t="inlineStr">
        <is>
          <t>billet.companies.EZDK.blend_pct.dri</t>
        </is>
      </c>
      <c r="B5" s="4" t="inlineStr">
        <is>
          <t>EZDK</t>
        </is>
      </c>
      <c r="C5" s="4" t="inlineStr">
        <is>
          <t>blend pct · dri</t>
        </is>
      </c>
      <c r="D5" s="4" t="inlineStr">
        <is>
          <t>%</t>
        </is>
      </c>
      <c r="E5" s="4" t="n">
        <v>80</v>
      </c>
      <c r="F5" s="4" t="n"/>
      <c r="G5" s="5">
        <f>IF(OR(F5="",E5=0),"",F5/E5-1)</f>
        <v/>
      </c>
      <c r="H5" s="4" t="n"/>
      <c r="I5" s="4" t="n"/>
    </row>
    <row r="6">
      <c r="A6" s="4" t="inlineStr">
        <is>
          <t>billet.companies.EZDK.blend_pct.local_scrap</t>
        </is>
      </c>
      <c r="B6" s="4" t="inlineStr">
        <is>
          <t>EZDK</t>
        </is>
      </c>
      <c r="C6" s="4" t="inlineStr">
        <is>
          <t>blend pct · local scrap</t>
        </is>
      </c>
      <c r="D6" s="4" t="inlineStr">
        <is>
          <t>%</t>
        </is>
      </c>
      <c r="E6" s="4" t="n">
        <v>4</v>
      </c>
      <c r="F6" s="4" t="n"/>
      <c r="G6" s="5">
        <f>IF(OR(F6="",E6=0),"",F6/E6-1)</f>
        <v/>
      </c>
      <c r="H6" s="4" t="n"/>
      <c r="I6" s="4" t="n"/>
    </row>
    <row r="7">
      <c r="A7" s="4" t="inlineStr">
        <is>
          <t>billet.companies.EZDK.blend_pct.imported_scrap</t>
        </is>
      </c>
      <c r="B7" s="4" t="inlineStr">
        <is>
          <t>EZDK</t>
        </is>
      </c>
      <c r="C7" s="4" t="inlineStr">
        <is>
          <t>blend pct · imported scrap</t>
        </is>
      </c>
      <c r="D7" s="4" t="inlineStr">
        <is>
          <t>%</t>
        </is>
      </c>
      <c r="E7" s="4" t="n">
        <v>16</v>
      </c>
      <c r="F7" s="4" t="n"/>
      <c r="G7" s="5">
        <f>IF(OR(F7="",E7=0),"",F7/E7-1)</f>
        <v/>
      </c>
      <c r="H7" s="4" t="n"/>
      <c r="I7" s="4" t="n"/>
    </row>
    <row r="8">
      <c r="A8" s="4" t="inlineStr">
        <is>
          <t>billet.companies.EZDK.eaf_yield_pct</t>
        </is>
      </c>
      <c r="B8" s="4" t="inlineStr">
        <is>
          <t>EZDK</t>
        </is>
      </c>
      <c r="C8" s="4" t="inlineStr">
        <is>
          <t>eaf yield pct</t>
        </is>
      </c>
      <c r="D8" s="4" t="inlineStr">
        <is>
          <t>%</t>
        </is>
      </c>
      <c r="E8" s="4" t="n">
        <v>84.93000000000001</v>
      </c>
      <c r="F8" s="4" t="n"/>
      <c r="G8" s="5">
        <f>IF(OR(F8="",E8=0),"",F8/E8-1)</f>
        <v/>
      </c>
      <c r="H8" s="4" t="n"/>
      <c r="I8" s="4" t="n"/>
    </row>
    <row r="9">
      <c r="A9" s="4" t="inlineStr">
        <is>
          <t>billet.companies.EZDK.ccp_yield_pct</t>
        </is>
      </c>
      <c r="B9" s="4" t="inlineStr">
        <is>
          <t>EZDK</t>
        </is>
      </c>
      <c r="C9" s="4" t="inlineStr">
        <is>
          <t>ccp yield pct</t>
        </is>
      </c>
      <c r="D9" s="4" t="inlineStr">
        <is>
          <t>%</t>
        </is>
      </c>
      <c r="E9" s="4" t="n">
        <v>99.38</v>
      </c>
      <c r="F9" s="4" t="n"/>
      <c r="G9" s="5">
        <f>IF(OR(F9="",E9=0),"",F9/E9-1)</f>
        <v/>
      </c>
      <c r="H9" s="4" t="n"/>
      <c r="I9" s="4" t="n"/>
    </row>
    <row r="10">
      <c r="A10" s="4" t="inlineStr">
        <is>
          <t>billet.companies.EZDK.eaf_lf_electricity_kwh_t_ms</t>
        </is>
      </c>
      <c r="B10" s="4" t="inlineStr">
        <is>
          <t>EZDK</t>
        </is>
      </c>
      <c r="C10" s="4" t="inlineStr">
        <is>
          <t>eaf lf electricity kwh t ms</t>
        </is>
      </c>
      <c r="D10" s="4" t="inlineStr"/>
      <c r="E10" s="4" t="n">
        <v>713.63</v>
      </c>
      <c r="F10" s="4" t="n"/>
      <c r="G10" s="5">
        <f>IF(OR(F10="",E10=0),"",F10/E10-1)</f>
        <v/>
      </c>
      <c r="H10" s="4" t="n"/>
      <c r="I10" s="4" t="n"/>
    </row>
    <row r="11">
      <c r="A11" s="4" t="inlineStr">
        <is>
          <t>billet.companies.EZDK.tradeoff_ratio</t>
        </is>
      </c>
      <c r="B11" s="4" t="inlineStr">
        <is>
          <t>EZDK</t>
        </is>
      </c>
      <c r="C11" s="4" t="inlineStr">
        <is>
          <t>tradeoff ratio</t>
        </is>
      </c>
      <c r="D11" s="4" t="inlineStr"/>
      <c r="E11" s="4" t="n">
        <v>1.041086812458581</v>
      </c>
      <c r="F11" s="4" t="n"/>
      <c r="G11" s="5">
        <f>IF(OR(F11="",E11=0),"",F11/E11-1)</f>
        <v/>
      </c>
      <c r="H11" s="4" t="n"/>
      <c r="I11" s="4" t="n"/>
    </row>
    <row r="12">
      <c r="A12" s="4" t="inlineStr">
        <is>
          <t>billet.companies.EFS.local_scrap_usd_t</t>
        </is>
      </c>
      <c r="B12" s="4" t="inlineStr">
        <is>
          <t>EFS</t>
        </is>
      </c>
      <c r="C12" s="4" t="inlineStr">
        <is>
          <t>local scrap usd t</t>
        </is>
      </c>
      <c r="D12" s="4" t="inlineStr">
        <is>
          <t>$/t</t>
        </is>
      </c>
      <c r="E12" s="4" t="n">
        <v>248.87</v>
      </c>
      <c r="F12" s="4" t="n"/>
      <c r="G12" s="5">
        <f>IF(OR(F12="",E12=0),"",F12/E12-1)</f>
        <v/>
      </c>
      <c r="H12" s="4" t="n"/>
      <c r="I12" s="4" t="n"/>
    </row>
    <row r="13">
      <c r="A13" s="4" t="inlineStr">
        <is>
          <t>billet.companies.EFS.imported_scrap_usd_t</t>
        </is>
      </c>
      <c r="B13" s="4" t="inlineStr">
        <is>
          <t>EFS</t>
        </is>
      </c>
      <c r="C13" s="4" t="inlineStr">
        <is>
          <t>imported scrap usd t</t>
        </is>
      </c>
      <c r="D13" s="4" t="inlineStr">
        <is>
          <t>$/t</t>
        </is>
      </c>
      <c r="E13" s="4" t="n">
        <v>267.27</v>
      </c>
      <c r="F13" s="4" t="n"/>
      <c r="G13" s="5">
        <f>IF(OR(F13="",E13=0),"",F13/E13-1)</f>
        <v/>
      </c>
      <c r="H13" s="4" t="n"/>
      <c r="I13" s="4" t="n"/>
    </row>
    <row r="14">
      <c r="A14" s="4" t="inlineStr">
        <is>
          <t>billet.companies.EFS.electricity_usd_kwh</t>
        </is>
      </c>
      <c r="B14" s="4" t="inlineStr">
        <is>
          <t>EFS</t>
        </is>
      </c>
      <c r="C14" s="4" t="inlineStr">
        <is>
          <t>electricity usd kwh</t>
        </is>
      </c>
      <c r="D14" s="4" t="inlineStr"/>
      <c r="E14" s="4" t="n">
        <v>0.07000000000000001</v>
      </c>
      <c r="F14" s="4" t="n"/>
      <c r="G14" s="5">
        <f>IF(OR(F14="",E14=0),"",F14/E14-1)</f>
        <v/>
      </c>
      <c r="H14" s="4" t="n"/>
      <c r="I14" s="4" t="n"/>
    </row>
    <row r="15">
      <c r="A15" s="4" t="inlineStr">
        <is>
          <t>billet.companies.EFS.blend_pct.dri</t>
        </is>
      </c>
      <c r="B15" s="4" t="inlineStr">
        <is>
          <t>EFS</t>
        </is>
      </c>
      <c r="C15" s="4" t="inlineStr">
        <is>
          <t>blend pct · dri</t>
        </is>
      </c>
      <c r="D15" s="4" t="inlineStr">
        <is>
          <t>%</t>
        </is>
      </c>
      <c r="E15" s="4" t="n">
        <v>80</v>
      </c>
      <c r="F15" s="4" t="n"/>
      <c r="G15" s="5">
        <f>IF(OR(F15="",E15=0),"",F15/E15-1)</f>
        <v/>
      </c>
      <c r="H15" s="4" t="n"/>
      <c r="I15" s="4" t="n"/>
    </row>
    <row r="16">
      <c r="A16" s="4" t="inlineStr">
        <is>
          <t>billet.companies.EFS.blend_pct.local_scrap</t>
        </is>
      </c>
      <c r="B16" s="4" t="inlineStr">
        <is>
          <t>EFS</t>
        </is>
      </c>
      <c r="C16" s="4" t="inlineStr">
        <is>
          <t>blend pct · local scrap</t>
        </is>
      </c>
      <c r="D16" s="4" t="inlineStr">
        <is>
          <t>%</t>
        </is>
      </c>
      <c r="E16" s="4" t="n">
        <v>14</v>
      </c>
      <c r="F16" s="4" t="n"/>
      <c r="G16" s="5">
        <f>IF(OR(F16="",E16=0),"",F16/E16-1)</f>
        <v/>
      </c>
      <c r="H16" s="4" t="n"/>
      <c r="I16" s="4" t="n"/>
    </row>
    <row r="17">
      <c r="A17" s="4" t="inlineStr">
        <is>
          <t>billet.companies.EFS.blend_pct.imported_scrap</t>
        </is>
      </c>
      <c r="B17" s="4" t="inlineStr">
        <is>
          <t>EFS</t>
        </is>
      </c>
      <c r="C17" s="4" t="inlineStr">
        <is>
          <t>blend pct · imported scrap</t>
        </is>
      </c>
      <c r="D17" s="4" t="inlineStr">
        <is>
          <t>%</t>
        </is>
      </c>
      <c r="E17" s="4" t="n">
        <v>6</v>
      </c>
      <c r="F17" s="4" t="n"/>
      <c r="G17" s="5">
        <f>IF(OR(F17="",E17=0),"",F17/E17-1)</f>
        <v/>
      </c>
      <c r="H17" s="4" t="n"/>
      <c r="I17" s="4" t="n"/>
    </row>
    <row r="18">
      <c r="A18" s="4" t="inlineStr">
        <is>
          <t>billet.companies.EFS.eaf_yield_pct</t>
        </is>
      </c>
      <c r="B18" s="4" t="inlineStr">
        <is>
          <t>EFS</t>
        </is>
      </c>
      <c r="C18" s="4" t="inlineStr">
        <is>
          <t>eaf yield pct</t>
        </is>
      </c>
      <c r="D18" s="4" t="inlineStr">
        <is>
          <t>%</t>
        </is>
      </c>
      <c r="E18" s="4" t="n">
        <v>84.17</v>
      </c>
      <c r="F18" s="4" t="n"/>
      <c r="G18" s="5">
        <f>IF(OR(F18="",E18=0),"",F18/E18-1)</f>
        <v/>
      </c>
      <c r="H18" s="4" t="n"/>
      <c r="I18" s="4" t="n"/>
    </row>
    <row r="19">
      <c r="A19" s="4" t="inlineStr">
        <is>
          <t>billet.companies.EFS.ccp_yield_pct</t>
        </is>
      </c>
      <c r="B19" s="4" t="inlineStr">
        <is>
          <t>EFS</t>
        </is>
      </c>
      <c r="C19" s="4" t="inlineStr">
        <is>
          <t>ccp yield pct</t>
        </is>
      </c>
      <c r="D19" s="4" t="inlineStr">
        <is>
          <t>%</t>
        </is>
      </c>
      <c r="E19" s="4" t="n">
        <v>98.05</v>
      </c>
      <c r="F19" s="4" t="n"/>
      <c r="G19" s="5">
        <f>IF(OR(F19="",E19=0),"",F19/E19-1)</f>
        <v/>
      </c>
      <c r="H19" s="4" t="n"/>
      <c r="I19" s="4" t="n"/>
    </row>
    <row r="20">
      <c r="A20" s="4" t="inlineStr">
        <is>
          <t>billet.companies.EFS.eaf_lf_electricity_kwh_t_ms</t>
        </is>
      </c>
      <c r="B20" s="4" t="inlineStr">
        <is>
          <t>EFS</t>
        </is>
      </c>
      <c r="C20" s="4" t="inlineStr">
        <is>
          <t>eaf lf electricity kwh t ms</t>
        </is>
      </c>
      <c r="D20" s="4" t="inlineStr"/>
      <c r="E20" s="4" t="n">
        <v>708.39</v>
      </c>
      <c r="F20" s="4" t="n"/>
      <c r="G20" s="5">
        <f>IF(OR(F20="",E20=0),"",F20/E20-1)</f>
        <v/>
      </c>
      <c r="H20" s="4" t="n"/>
      <c r="I20" s="4" t="n"/>
    </row>
    <row r="21">
      <c r="A21" s="4" t="inlineStr">
        <is>
          <t>billet.companies.EFS.tradeoff_ratio</t>
        </is>
      </c>
      <c r="B21" s="4" t="inlineStr">
        <is>
          <t>EFS</t>
        </is>
      </c>
      <c r="C21" s="4" t="inlineStr">
        <is>
          <t>tradeoff ratio</t>
        </is>
      </c>
      <c r="D21" s="4" t="inlineStr"/>
      <c r="E21" s="4" t="n">
        <v>1.038461538461538</v>
      </c>
      <c r="F21" s="4" t="n"/>
      <c r="G21" s="5">
        <f>IF(OR(F21="",E21=0),"",F21/E21-1)</f>
        <v/>
      </c>
      <c r="H21" s="4" t="n"/>
      <c r="I21" s="4" t="n"/>
    </row>
    <row r="22">
      <c r="A22" s="4" t="inlineStr">
        <is>
          <t>billet.companies.ESR.local_scrap_usd_t</t>
        </is>
      </c>
      <c r="B22" s="4" t="inlineStr">
        <is>
          <t>ESR</t>
        </is>
      </c>
      <c r="C22" s="4" t="inlineStr">
        <is>
          <t>local scrap usd t</t>
        </is>
      </c>
      <c r="D22" s="4" t="inlineStr">
        <is>
          <t>$/t</t>
        </is>
      </c>
      <c r="E22" s="4" t="n">
        <v>300</v>
      </c>
      <c r="F22" s="4" t="n"/>
      <c r="G22" s="5">
        <f>IF(OR(F22="",E22=0),"",F22/E22-1)</f>
        <v/>
      </c>
      <c r="H22" s="4" t="n"/>
      <c r="I22" s="4" t="n"/>
    </row>
    <row r="23">
      <c r="A23" s="4" t="inlineStr">
        <is>
          <t>billet.companies.ESR.imported_scrap_usd_t</t>
        </is>
      </c>
      <c r="B23" s="4" t="inlineStr">
        <is>
          <t>ESR</t>
        </is>
      </c>
      <c r="C23" s="4" t="inlineStr">
        <is>
          <t>imported scrap usd t</t>
        </is>
      </c>
      <c r="D23" s="4" t="inlineStr">
        <is>
          <t>$/t</t>
        </is>
      </c>
      <c r="E23" s="4" t="n">
        <v>300</v>
      </c>
      <c r="F23" s="4" t="n"/>
      <c r="G23" s="5">
        <f>IF(OR(F23="",E23=0),"",F23/E23-1)</f>
        <v/>
      </c>
      <c r="H23" s="4" t="n"/>
      <c r="I23" s="4" t="n"/>
    </row>
    <row r="24">
      <c r="A24" s="4" t="inlineStr">
        <is>
          <t>billet.companies.ESR.electricity_usd_kwh</t>
        </is>
      </c>
      <c r="B24" s="4" t="inlineStr">
        <is>
          <t>ESR</t>
        </is>
      </c>
      <c r="C24" s="4" t="inlineStr">
        <is>
          <t>electricity usd kwh</t>
        </is>
      </c>
      <c r="D24" s="4" t="inlineStr"/>
      <c r="E24" s="4" t="n">
        <v>0.07000000000000001</v>
      </c>
      <c r="F24" s="4" t="n"/>
      <c r="G24" s="5">
        <f>IF(OR(F24="",E24=0),"",F24/E24-1)</f>
        <v/>
      </c>
      <c r="H24" s="4" t="n"/>
      <c r="I24" s="4" t="n"/>
    </row>
    <row r="25">
      <c r="A25" s="4" t="inlineStr">
        <is>
          <t>billet.companies.ESR.blend_pct.dri</t>
        </is>
      </c>
      <c r="B25" s="4" t="inlineStr">
        <is>
          <t>ESR</t>
        </is>
      </c>
      <c r="C25" s="4" t="inlineStr">
        <is>
          <t>blend pct · dri</t>
        </is>
      </c>
      <c r="D25" s="4" t="inlineStr">
        <is>
          <t>%</t>
        </is>
      </c>
      <c r="E25" s="4" t="n">
        <v>20</v>
      </c>
      <c r="F25" s="4" t="n"/>
      <c r="G25" s="5">
        <f>IF(OR(F25="",E25=0),"",F25/E25-1)</f>
        <v/>
      </c>
      <c r="H25" s="4" t="n"/>
      <c r="I25" s="4" t="n"/>
    </row>
    <row r="26">
      <c r="A26" s="4" t="inlineStr">
        <is>
          <t>billet.companies.ESR.blend_pct.local_scrap</t>
        </is>
      </c>
      <c r="B26" s="4" t="inlineStr">
        <is>
          <t>ESR</t>
        </is>
      </c>
      <c r="C26" s="4" t="inlineStr">
        <is>
          <t>blend pct · local scrap</t>
        </is>
      </c>
      <c r="D26" s="4" t="inlineStr">
        <is>
          <t>%</t>
        </is>
      </c>
      <c r="E26" s="4" t="n">
        <v>16.0133</v>
      </c>
      <c r="F26" s="4" t="n"/>
      <c r="G26" s="5">
        <f>IF(OR(F26="",E26=0),"",F26/E26-1)</f>
        <v/>
      </c>
      <c r="H26" s="4" t="n"/>
      <c r="I26" s="4" t="n"/>
    </row>
    <row r="27">
      <c r="A27" s="4" t="inlineStr">
        <is>
          <t>billet.companies.ESR.blend_pct.imported_scrap</t>
        </is>
      </c>
      <c r="B27" s="4" t="inlineStr">
        <is>
          <t>ESR</t>
        </is>
      </c>
      <c r="C27" s="4" t="inlineStr">
        <is>
          <t>blend pct · imported scrap</t>
        </is>
      </c>
      <c r="D27" s="4" t="inlineStr">
        <is>
          <t>%</t>
        </is>
      </c>
      <c r="E27" s="4" t="n">
        <v>63.9867</v>
      </c>
      <c r="F27" s="4" t="n"/>
      <c r="G27" s="5">
        <f>IF(OR(F27="",E27=0),"",F27/E27-1)</f>
        <v/>
      </c>
      <c r="H27" s="4" t="n"/>
      <c r="I27" s="4" t="n"/>
    </row>
    <row r="28">
      <c r="A28" s="4" t="inlineStr">
        <is>
          <t>billet.companies.ESR.eaf_yield_pct</t>
        </is>
      </c>
      <c r="B28" s="4" t="inlineStr">
        <is>
          <t>ESR</t>
        </is>
      </c>
      <c r="C28" s="4" t="inlineStr">
        <is>
          <t>eaf yield pct</t>
        </is>
      </c>
      <c r="D28" s="4" t="inlineStr">
        <is>
          <t>%</t>
        </is>
      </c>
      <c r="E28" s="4" t="n">
        <v>87.34999999999999</v>
      </c>
      <c r="F28" s="4" t="n"/>
      <c r="G28" s="5">
        <f>IF(OR(F28="",E28=0),"",F28/E28-1)</f>
        <v/>
      </c>
      <c r="H28" s="4" t="n"/>
      <c r="I28" s="4" t="n"/>
    </row>
    <row r="29">
      <c r="A29" s="4" t="inlineStr">
        <is>
          <t>billet.companies.ESR.ccp_yield_pct</t>
        </is>
      </c>
      <c r="B29" s="4" t="inlineStr">
        <is>
          <t>ESR</t>
        </is>
      </c>
      <c r="C29" s="4" t="inlineStr">
        <is>
          <t>ccp yield pct</t>
        </is>
      </c>
      <c r="D29" s="4" t="inlineStr">
        <is>
          <t>%</t>
        </is>
      </c>
      <c r="E29" s="4" t="n">
        <v>98.5</v>
      </c>
      <c r="F29" s="4" t="n"/>
      <c r="G29" s="5">
        <f>IF(OR(F29="",E29=0),"",F29/E29-1)</f>
        <v/>
      </c>
      <c r="H29" s="4" t="n"/>
      <c r="I29" s="4" t="n"/>
    </row>
    <row r="30">
      <c r="A30" s="4" t="inlineStr">
        <is>
          <t>billet.companies.ESR.eaf_lf_electricity_kwh_t_ms</t>
        </is>
      </c>
      <c r="B30" s="4" t="inlineStr">
        <is>
          <t>ESR</t>
        </is>
      </c>
      <c r="C30" s="4" t="inlineStr">
        <is>
          <t>eaf lf electricity kwh t ms</t>
        </is>
      </c>
      <c r="D30" s="4" t="inlineStr"/>
      <c r="E30" s="4" t="n">
        <v>597.1</v>
      </c>
      <c r="F30" s="4" t="n"/>
      <c r="G30" s="5">
        <f>IF(OR(F30="",E30=0),"",F30/E30-1)</f>
        <v/>
      </c>
      <c r="H30" s="4" t="n"/>
      <c r="I30" s="4" t="n"/>
    </row>
    <row r="31">
      <c r="A31" s="4" t="inlineStr">
        <is>
          <t>billet.companies.ESR.tradeoff_ratio</t>
        </is>
      </c>
      <c r="B31" s="4" t="inlineStr">
        <is>
          <t>ESR</t>
        </is>
      </c>
      <c r="C31" s="4" t="inlineStr">
        <is>
          <t>tradeoff ratio</t>
        </is>
      </c>
      <c r="D31" s="4" t="inlineStr"/>
      <c r="E31" s="4" t="n">
        <v>1.040456769983687</v>
      </c>
      <c r="F31" s="4" t="n"/>
      <c r="G31" s="5">
        <f>IF(OR(F31="",E31=0),"",F31/E31-1)</f>
        <v/>
      </c>
      <c r="H31" s="4" t="n"/>
      <c r="I31" s="4" t="n"/>
    </row>
    <row r="32">
      <c r="A32" s="4" t="inlineStr">
        <is>
          <t>billet.market_usd_t.base</t>
        </is>
      </c>
      <c r="B32" s="4" t="inlineStr">
        <is>
          <t>Group</t>
        </is>
      </c>
      <c r="C32" s="4" t="inlineStr">
        <is>
          <t>market usd t · base</t>
        </is>
      </c>
      <c r="D32" s="4" t="inlineStr"/>
      <c r="E32" s="4" t="n">
        <v>428</v>
      </c>
      <c r="F32" s="4" t="n"/>
      <c r="G32" s="5">
        <f>IF(OR(F32="",E32=0),"",F32/E32-1)</f>
        <v/>
      </c>
      <c r="H32" s="4" t="n"/>
      <c r="I32" s="4" t="n"/>
    </row>
    <row r="33">
      <c r="A33" s="4" t="inlineStr">
        <is>
          <t>billet.market_usd_t.safe_guards</t>
        </is>
      </c>
      <c r="B33" s="4" t="inlineStr">
        <is>
          <t>Group</t>
        </is>
      </c>
      <c r="C33" s="4" t="inlineStr">
        <is>
          <t>market usd t · safe guards</t>
        </is>
      </c>
      <c r="D33" s="4" t="inlineStr"/>
      <c r="E33" s="4" t="n">
        <v>74</v>
      </c>
      <c r="F33" s="4" t="n"/>
      <c r="G33" s="5">
        <f>IF(OR(F33="",E33=0),"",F33/E33-1)</f>
        <v/>
      </c>
      <c r="H33" s="4" t="n"/>
      <c r="I33" s="4" t="n"/>
    </row>
    <row r="34">
      <c r="A34" s="4" t="inlineStr">
        <is>
          <t>billet.market_usd_t.other_costs</t>
        </is>
      </c>
      <c r="B34" s="4" t="inlineStr">
        <is>
          <t>Group</t>
        </is>
      </c>
      <c r="C34" s="4" t="inlineStr">
        <is>
          <t>market usd t · other costs</t>
        </is>
      </c>
      <c r="D34" s="4" t="inlineStr"/>
      <c r="E34" s="4" t="n">
        <v>12.36</v>
      </c>
      <c r="F34" s="4" t="n"/>
      <c r="G34" s="5">
        <f>IF(OR(F34="",E34=0),"",F34/E34-1)</f>
        <v/>
      </c>
      <c r="H34" s="4" t="n"/>
      <c r="I34" s="4" t="n"/>
    </row>
    <row r="35">
      <c r="A35" s="4" t="inlineStr">
        <is>
          <t>detail.EZDK Rebar.stage1.blend_pct.home_scrap</t>
        </is>
      </c>
      <c r="B35" s="4" t="inlineStr">
        <is>
          <t>EZDK Rebar</t>
        </is>
      </c>
      <c r="C35" s="4" t="inlineStr">
        <is>
          <t>stage1 · blend pct · home scrap</t>
        </is>
      </c>
      <c r="D35" s="4" t="inlineStr">
        <is>
          <t>%</t>
        </is>
      </c>
      <c r="E35" s="4" t="n">
        <v>0</v>
      </c>
      <c r="F35" s="4" t="n"/>
      <c r="G35" s="5">
        <f>IF(OR(F35="",E35=0),"",F35/E35-1)</f>
        <v/>
      </c>
      <c r="H35" s="4" t="n"/>
      <c r="I35" s="4" t="n"/>
    </row>
    <row r="36">
      <c r="A36" s="4" t="inlineStr">
        <is>
          <t>detail.EZDK Rebar.stage1.blend_pct.pig_iron</t>
        </is>
      </c>
      <c r="B36" s="4" t="inlineStr">
        <is>
          <t>EZDK Rebar</t>
        </is>
      </c>
      <c r="C36" s="4" t="inlineStr">
        <is>
          <t>stage1 · blend pct · pig iron</t>
        </is>
      </c>
      <c r="D36" s="4" t="inlineStr">
        <is>
          <t>%</t>
        </is>
      </c>
      <c r="E36" s="4" t="n">
        <v>0</v>
      </c>
      <c r="F36" s="4" t="n"/>
      <c r="G36" s="5">
        <f>IF(OR(F36="",E36=0),"",F36/E36-1)</f>
        <v/>
      </c>
      <c r="H36" s="4" t="n"/>
      <c r="I36" s="4" t="n"/>
    </row>
    <row r="37">
      <c r="A37" s="4" t="inlineStr">
        <is>
          <t>detail.EZDK Rebar.stage1.byproduct_pct_of_solid_charge</t>
        </is>
      </c>
      <c r="B37" s="4" t="inlineStr">
        <is>
          <t>EZDK Rebar</t>
        </is>
      </c>
      <c r="C37" s="4" t="inlineStr">
        <is>
          <t>stage1 · byproduct pct of solid charge</t>
        </is>
      </c>
      <c r="D37" s="4" t="inlineStr"/>
      <c r="E37" s="4" t="n">
        <v>-0.03103867625084459</v>
      </c>
      <c r="F37" s="4" t="n"/>
      <c r="G37" s="5">
        <f>IF(OR(F37="",E37=0),"",F37/E37-1)</f>
        <v/>
      </c>
      <c r="H37" s="4" t="n"/>
      <c r="I37" s="4" t="n"/>
    </row>
    <row r="38">
      <c r="A38" s="4" t="inlineStr">
        <is>
          <t>detail.EZDK Rebar.stage1.consumption.aux_materials_kg</t>
        </is>
      </c>
      <c r="B38" s="4" t="inlineStr">
        <is>
          <t>EZDK Rebar</t>
        </is>
      </c>
      <c r="C38" s="4" t="inlineStr">
        <is>
          <t>stage1 · consumption · aux materials kg</t>
        </is>
      </c>
      <c r="D38" s="4" t="inlineStr"/>
      <c r="E38" s="4" t="n">
        <v>422.601588476686</v>
      </c>
      <c r="F38" s="4" t="n"/>
      <c r="G38" s="5">
        <f>IF(OR(F38="",E38=0),"",F38/E38-1)</f>
        <v/>
      </c>
      <c r="H38" s="4" t="n"/>
      <c r="I38" s="4" t="n"/>
    </row>
    <row r="39">
      <c r="A39" s="4" t="inlineStr">
        <is>
          <t>detail.EZDK Rebar.stage1.consumption.refractories_kg</t>
        </is>
      </c>
      <c r="B39" s="4" t="inlineStr">
        <is>
          <t>EZDK Rebar</t>
        </is>
      </c>
      <c r="C39" s="4" t="inlineStr">
        <is>
          <t>stage1 · consumption · refractories kg</t>
        </is>
      </c>
      <c r="D39" s="4" t="inlineStr"/>
      <c r="E39" s="4" t="n">
        <v>10.50859753004164</v>
      </c>
      <c r="F39" s="4" t="n"/>
      <c r="G39" s="5">
        <f>IF(OR(F39="",E39=0),"",F39/E39-1)</f>
        <v/>
      </c>
      <c r="H39" s="4" t="n"/>
      <c r="I39" s="4" t="n"/>
    </row>
    <row r="40">
      <c r="A40" s="4" t="inlineStr">
        <is>
          <t>detail.EZDK Rebar.stage1.consumption.electrodes_kg</t>
        </is>
      </c>
      <c r="B40" s="4" t="inlineStr">
        <is>
          <t>EZDK Rebar</t>
        </is>
      </c>
      <c r="C40" s="4" t="inlineStr">
        <is>
          <t>stage1 · consumption · electrodes kg</t>
        </is>
      </c>
      <c r="D40" s="4" t="inlineStr"/>
      <c r="E40" s="4" t="n">
        <v>2.580561715264233</v>
      </c>
      <c r="F40" s="4" t="n"/>
      <c r="G40" s="5">
        <f>IF(OR(F40="",E40=0),"",F40/E40-1)</f>
        <v/>
      </c>
      <c r="H40" s="4" t="n"/>
      <c r="I40" s="4" t="n"/>
    </row>
    <row r="41">
      <c r="A41" s="4" t="inlineStr">
        <is>
          <t>detail.EZDK Rebar.stage1.consumption.other_fillers_kg</t>
        </is>
      </c>
      <c r="B41" s="4" t="inlineStr">
        <is>
          <t>EZDK Rebar</t>
        </is>
      </c>
      <c r="C41" s="4" t="inlineStr">
        <is>
          <t>stage1 · consumption · other fillers kg</t>
        </is>
      </c>
      <c r="D41" s="4" t="inlineStr"/>
      <c r="E41" s="4" t="n">
        <v>1.284258610070121</v>
      </c>
      <c r="F41" s="4" t="n"/>
      <c r="G41" s="5">
        <f>IF(OR(F41="",E41=0),"",F41/E41-1)</f>
        <v/>
      </c>
      <c r="H41" s="4" t="n"/>
      <c r="I41" s="4" t="n"/>
    </row>
    <row r="42">
      <c r="A42" s="4" t="inlineStr">
        <is>
          <t>detail.EZDK Rebar.stage1.consumption.electricity_aux_kwh</t>
        </is>
      </c>
      <c r="B42" s="4" t="inlineStr">
        <is>
          <t>EZDK Rebar</t>
        </is>
      </c>
      <c r="C42" s="4" t="inlineStr">
        <is>
          <t>stage1 · consumption · electricity aux kwh</t>
        </is>
      </c>
      <c r="D42" s="4" t="inlineStr"/>
      <c r="E42" s="4" t="n">
        <v>239.7153886980133</v>
      </c>
      <c r="F42" s="4" t="n"/>
      <c r="G42" s="5">
        <f>IF(OR(F42="",E42=0),"",F42/E42-1)</f>
        <v/>
      </c>
      <c r="H42" s="4" t="n"/>
      <c r="I42" s="4" t="n"/>
    </row>
    <row r="43">
      <c r="A43" s="4" t="inlineStr">
        <is>
          <t>detail.EZDK Rebar.stage1.consumption.natural_gas_nm3</t>
        </is>
      </c>
      <c r="B43" s="4" t="inlineStr">
        <is>
          <t>EZDK Rebar</t>
        </is>
      </c>
      <c r="C43" s="4" t="inlineStr">
        <is>
          <t>stage1 · consumption · natural gas nm3</t>
        </is>
      </c>
      <c r="D43" s="4" t="inlineStr"/>
      <c r="E43" s="4" t="n">
        <v>14.59305401382995</v>
      </c>
      <c r="F43" s="4" t="n"/>
      <c r="G43" s="5">
        <f>IF(OR(F43="",E43=0),"",F43/E43-1)</f>
        <v/>
      </c>
      <c r="H43" s="4" t="n"/>
      <c r="I43" s="4" t="n"/>
    </row>
    <row r="44">
      <c r="A44" s="4" t="inlineStr">
        <is>
          <t>detail.EZDK Rebar.stage1.consumption.water_m3</t>
        </is>
      </c>
      <c r="B44" s="4" t="inlineStr">
        <is>
          <t>EZDK Rebar</t>
        </is>
      </c>
      <c r="C44" s="4" t="inlineStr">
        <is>
          <t>stage1 · consumption · water m3</t>
        </is>
      </c>
      <c r="D44" s="4" t="inlineStr"/>
      <c r="E44" s="4" t="n">
        <v>1.548884036771966</v>
      </c>
      <c r="F44" s="4" t="n"/>
      <c r="G44" s="5">
        <f>IF(OR(F44="",E44=0),"",F44/E44-1)</f>
        <v/>
      </c>
      <c r="H44" s="4" t="n"/>
      <c r="I44" s="4" t="n"/>
    </row>
    <row r="45">
      <c r="A45" s="4" t="inlineStr">
        <is>
          <t>detail.EZDK Rebar.stage1.consumption.oxygen_nm3</t>
        </is>
      </c>
      <c r="B45" s="4" t="inlineStr">
        <is>
          <t>EZDK Rebar</t>
        </is>
      </c>
      <c r="C45" s="4" t="inlineStr">
        <is>
          <t>stage1 · consumption · oxygen nm3</t>
        </is>
      </c>
      <c r="D45" s="4" t="inlineStr"/>
      <c r="E45" s="4" t="n">
        <v>34.79748753864489</v>
      </c>
      <c r="F45" s="4" t="n"/>
      <c r="G45" s="5">
        <f>IF(OR(F45="",E45=0),"",F45/E45-1)</f>
        <v/>
      </c>
      <c r="H45" s="4" t="n"/>
      <c r="I45" s="4" t="n"/>
    </row>
    <row r="46">
      <c r="A46" s="4" t="inlineStr">
        <is>
          <t>detail.EZDK Rebar.stage1.consumption.nitrogen_nm3</t>
        </is>
      </c>
      <c r="B46" s="4" t="inlineStr">
        <is>
          <t>EZDK Rebar</t>
        </is>
      </c>
      <c r="C46" s="4" t="inlineStr">
        <is>
          <t>stage1 · consumption · nitrogen nm3</t>
        </is>
      </c>
      <c r="D46" s="4" t="inlineStr"/>
      <c r="E46" s="4" t="n">
        <v>4.086498118550487</v>
      </c>
      <c r="F46" s="4" t="n"/>
      <c r="G46" s="5">
        <f>IF(OR(F46="",E46=0),"",F46/E46-1)</f>
        <v/>
      </c>
      <c r="H46" s="4" t="n"/>
      <c r="I46" s="4" t="n"/>
    </row>
    <row r="47">
      <c r="A47" s="4" t="inlineStr">
        <is>
          <t>detail.EZDK Rebar.stage1.consumption.argon_nm3</t>
        </is>
      </c>
      <c r="B47" s="4" t="inlineStr">
        <is>
          <t>EZDK Rebar</t>
        </is>
      </c>
      <c r="C47" s="4" t="inlineStr">
        <is>
          <t>stage1 · consumption · argon nm3</t>
        </is>
      </c>
      <c r="D47" s="4" t="inlineStr"/>
      <c r="E47" s="4" t="n">
        <v>0.3045588411940751</v>
      </c>
      <c r="F47" s="4" t="n"/>
      <c r="G47" s="5">
        <f>IF(OR(F47="",E47=0),"",F47/E47-1)</f>
        <v/>
      </c>
      <c r="H47" s="4" t="n"/>
      <c r="I47" s="4" t="n"/>
    </row>
    <row r="48">
      <c r="A48" s="4" t="inlineStr">
        <is>
          <t>detail.EZDK Rebar.stage1.consumption.handling_kg</t>
        </is>
      </c>
      <c r="B48" s="4" t="inlineStr">
        <is>
          <t>EZDK Rebar</t>
        </is>
      </c>
      <c r="C48" s="4" t="inlineStr">
        <is>
          <t>stage1 · consumption · handling kg</t>
        </is>
      </c>
      <c r="D48" s="4" t="inlineStr"/>
      <c r="E48" s="4" t="n">
        <v>0.9868461249466488</v>
      </c>
      <c r="F48" s="4" t="n"/>
      <c r="G48" s="5">
        <f>IF(OR(F48="",E48=0),"",F48/E48-1)</f>
        <v/>
      </c>
      <c r="H48" s="4" t="n"/>
      <c r="I48" s="4" t="n"/>
    </row>
    <row r="49">
      <c r="A49" s="4" t="inlineStr">
        <is>
          <t>detail.EZDK Rebar.stage1.consumption.cutting_kg</t>
        </is>
      </c>
      <c r="B49" s="4" t="inlineStr">
        <is>
          <t>EZDK Rebar</t>
        </is>
      </c>
      <c r="C49" s="4" t="inlineStr">
        <is>
          <t>stage1 · consumption · cutting kg</t>
        </is>
      </c>
      <c r="D49" s="4" t="inlineStr"/>
      <c r="E49" s="4" t="n">
        <v>0</v>
      </c>
      <c r="F49" s="4" t="n"/>
      <c r="G49" s="5">
        <f>IF(OR(F49="",E49=0),"",F49/E49-1)</f>
        <v/>
      </c>
      <c r="H49" s="4" t="n"/>
      <c r="I49" s="4" t="n"/>
    </row>
    <row r="50">
      <c r="A50" s="4" t="inlineStr">
        <is>
          <t>detail.EZDK Rebar.stage1.prices_usd.home_scrap_t</t>
        </is>
      </c>
      <c r="B50" s="4" t="inlineStr">
        <is>
          <t>EZDK Rebar</t>
        </is>
      </c>
      <c r="C50" s="4" t="inlineStr">
        <is>
          <t>stage1 · prices usd · home scrap t</t>
        </is>
      </c>
      <c r="D50" s="4" t="inlineStr"/>
      <c r="E50" s="4" t="n">
        <v>0</v>
      </c>
      <c r="F50" s="4" t="n"/>
      <c r="G50" s="5">
        <f>IF(OR(F50="",E50=0),"",F50/E50-1)</f>
        <v/>
      </c>
      <c r="H50" s="4" t="n"/>
      <c r="I50" s="4" t="n"/>
    </row>
    <row r="51">
      <c r="A51" s="4" t="inlineStr">
        <is>
          <t>detail.EZDK Rebar.stage1.prices_usd.pig_iron_t</t>
        </is>
      </c>
      <c r="B51" s="4" t="inlineStr">
        <is>
          <t>EZDK Rebar</t>
        </is>
      </c>
      <c r="C51" s="4" t="inlineStr">
        <is>
          <t>stage1 · prices usd · pig iron t</t>
        </is>
      </c>
      <c r="D51" s="4" t="inlineStr"/>
      <c r="E51" s="4" t="n">
        <v>0</v>
      </c>
      <c r="F51" s="4" t="n"/>
      <c r="G51" s="5">
        <f>IF(OR(F51="",E51=0),"",F51/E51-1)</f>
        <v/>
      </c>
      <c r="H51" s="4" t="n"/>
      <c r="I51" s="4" t="n"/>
    </row>
    <row r="52">
      <c r="A52" s="4" t="inlineStr">
        <is>
          <t>detail.EZDK Rebar.stage1.prices_usd.byproduct_t</t>
        </is>
      </c>
      <c r="B52" s="4" t="inlineStr">
        <is>
          <t>EZDK Rebar</t>
        </is>
      </c>
      <c r="C52" s="4" t="inlineStr">
        <is>
          <t>stage1 · prices usd · byproduct t</t>
        </is>
      </c>
      <c r="D52" s="4" t="inlineStr"/>
      <c r="E52" s="4" t="n">
        <v>352.5046788787349</v>
      </c>
      <c r="F52" s="4" t="n"/>
      <c r="G52" s="5">
        <f>IF(OR(F52="",E52=0),"",F52/E52-1)</f>
        <v/>
      </c>
      <c r="H52" s="4" t="n"/>
      <c r="I52" s="4" t="n"/>
    </row>
    <row r="53">
      <c r="A53" s="4" t="inlineStr">
        <is>
          <t>detail.EZDK Rebar.stage1.prices_usd.aux_materials_kg</t>
        </is>
      </c>
      <c r="B53" s="4" t="inlineStr">
        <is>
          <t>EZDK Rebar</t>
        </is>
      </c>
      <c r="C53" s="4" t="inlineStr">
        <is>
          <t>stage1 · prices usd · aux materials kg</t>
        </is>
      </c>
      <c r="D53" s="4" t="inlineStr"/>
      <c r="E53" s="4" t="n">
        <v>59.39701755625806</v>
      </c>
      <c r="F53" s="4" t="n"/>
      <c r="G53" s="5">
        <f>IF(OR(F53="",E53=0),"",F53/E53-1)</f>
        <v/>
      </c>
      <c r="H53" s="4" t="n"/>
      <c r="I53" s="4" t="n"/>
    </row>
    <row r="54">
      <c r="A54" s="4" t="inlineStr">
        <is>
          <t>detail.EZDK Rebar.stage1.prices_usd.refractories_kg</t>
        </is>
      </c>
      <c r="B54" s="4" t="inlineStr">
        <is>
          <t>EZDK Rebar</t>
        </is>
      </c>
      <c r="C54" s="4" t="inlineStr">
        <is>
          <t>stage1 · prices usd · refractories kg</t>
        </is>
      </c>
      <c r="D54" s="4" t="inlineStr"/>
      <c r="E54" s="4" t="n">
        <v>919.7198626547731</v>
      </c>
      <c r="F54" s="4" t="n"/>
      <c r="G54" s="5">
        <f>IF(OR(F54="",E54=0),"",F54/E54-1)</f>
        <v/>
      </c>
      <c r="H54" s="4" t="n"/>
      <c r="I54" s="4" t="n"/>
    </row>
    <row r="55">
      <c r="A55" s="4" t="inlineStr">
        <is>
          <t>detail.EZDK Rebar.stage1.prices_usd.electrodes_kg</t>
        </is>
      </c>
      <c r="B55" s="4" t="inlineStr">
        <is>
          <t>EZDK Rebar</t>
        </is>
      </c>
      <c r="C55" s="4" t="inlineStr">
        <is>
          <t>stage1 · prices usd · electrodes kg</t>
        </is>
      </c>
      <c r="D55" s="4" t="inlineStr"/>
      <c r="E55" s="4" t="n">
        <v>5841.4012540941</v>
      </c>
      <c r="F55" s="4" t="n"/>
      <c r="G55" s="5">
        <f>IF(OR(F55="",E55=0),"",F55/E55-1)</f>
        <v/>
      </c>
      <c r="H55" s="4" t="n"/>
      <c r="I55" s="4" t="n"/>
    </row>
    <row r="56">
      <c r="A56" s="4" t="inlineStr">
        <is>
          <t>detail.EZDK Rebar.stage1.prices_usd.other_fillers_kg</t>
        </is>
      </c>
      <c r="B56" s="4" t="inlineStr">
        <is>
          <t>EZDK Rebar</t>
        </is>
      </c>
      <c r="C56" s="4" t="inlineStr">
        <is>
          <t>stage1 · prices usd · other fillers kg</t>
        </is>
      </c>
      <c r="D56" s="4" t="inlineStr"/>
      <c r="E56" s="4" t="n">
        <v>233.463515754561</v>
      </c>
      <c r="F56" s="4" t="n"/>
      <c r="G56" s="5">
        <f>IF(OR(F56="",E56=0),"",F56/E56-1)</f>
        <v/>
      </c>
      <c r="H56" s="4" t="n"/>
      <c r="I56" s="4" t="n"/>
    </row>
    <row r="57">
      <c r="A57" s="4" t="inlineStr">
        <is>
          <t>detail.EZDK Rebar.stage1.prices_usd.natural_gas_nm3</t>
        </is>
      </c>
      <c r="B57" s="4" t="inlineStr">
        <is>
          <t>EZDK Rebar</t>
        </is>
      </c>
      <c r="C57" s="4" t="inlineStr">
        <is>
          <t>stage1 · prices usd · natural gas nm3</t>
        </is>
      </c>
      <c r="D57" s="4" t="inlineStr"/>
      <c r="E57" s="4" t="n">
        <v>0.250724642126514</v>
      </c>
      <c r="F57" s="4" t="n"/>
      <c r="G57" s="5">
        <f>IF(OR(F57="",E57=0),"",F57/E57-1)</f>
        <v/>
      </c>
      <c r="H57" s="4" t="n"/>
      <c r="I57" s="4" t="n"/>
    </row>
    <row r="58">
      <c r="A58" s="4" t="inlineStr">
        <is>
          <t>detail.EZDK Rebar.stage1.prices_usd.water_m3</t>
        </is>
      </c>
      <c r="B58" s="4" t="inlineStr">
        <is>
          <t>EZDK Rebar</t>
        </is>
      </c>
      <c r="C58" s="4" t="inlineStr">
        <is>
          <t>stage1 · prices usd · water m3</t>
        </is>
      </c>
      <c r="D58" s="4" t="inlineStr"/>
      <c r="E58" s="4" t="n">
        <v>0.2716395510654938</v>
      </c>
      <c r="F58" s="4" t="n"/>
      <c r="G58" s="5">
        <f>IF(OR(F58="",E58=0),"",F58/E58-1)</f>
        <v/>
      </c>
      <c r="H58" s="4" t="n"/>
      <c r="I58" s="4" t="n"/>
    </row>
    <row r="59">
      <c r="A59" s="4" t="inlineStr">
        <is>
          <t>detail.EZDK Rebar.stage1.prices_usd.oxygen_nm3</t>
        </is>
      </c>
      <c r="B59" s="4" t="inlineStr">
        <is>
          <t>EZDK Rebar</t>
        </is>
      </c>
      <c r="C59" s="4" t="inlineStr">
        <is>
          <t>stage1 · prices usd · oxygen nm3</t>
        </is>
      </c>
      <c r="D59" s="4" t="inlineStr"/>
      <c r="E59" s="4" t="n">
        <v>0.1716647463083416</v>
      </c>
      <c r="F59" s="4" t="n"/>
      <c r="G59" s="5">
        <f>IF(OR(F59="",E59=0),"",F59/E59-1)</f>
        <v/>
      </c>
      <c r="H59" s="4" t="n"/>
      <c r="I59" s="4" t="n"/>
    </row>
    <row r="60">
      <c r="A60" s="4" t="inlineStr">
        <is>
          <t>detail.EZDK Rebar.stage1.prices_usd.nitrogen_nm3</t>
        </is>
      </c>
      <c r="B60" s="4" t="inlineStr">
        <is>
          <t>EZDK Rebar</t>
        </is>
      </c>
      <c r="C60" s="4" t="inlineStr">
        <is>
          <t>stage1 · prices usd · nitrogen nm3</t>
        </is>
      </c>
      <c r="D60" s="4" t="inlineStr"/>
      <c r="E60" s="4" t="n">
        <v>0.1716647463083416</v>
      </c>
      <c r="F60" s="4" t="n"/>
      <c r="G60" s="5">
        <f>IF(OR(F60="",E60=0),"",F60/E60-1)</f>
        <v/>
      </c>
      <c r="H60" s="4" t="n"/>
      <c r="I60" s="4" t="n"/>
    </row>
    <row r="61">
      <c r="A61" s="4" t="inlineStr">
        <is>
          <t>detail.EZDK Rebar.stage1.prices_usd.argon_nm3</t>
        </is>
      </c>
      <c r="B61" s="4" t="inlineStr">
        <is>
          <t>EZDK Rebar</t>
        </is>
      </c>
      <c r="C61" s="4" t="inlineStr">
        <is>
          <t>stage1 · prices usd · argon nm3</t>
        </is>
      </c>
      <c r="D61" s="4" t="inlineStr"/>
      <c r="E61" s="4" t="n">
        <v>1.928367316863704</v>
      </c>
      <c r="F61" s="4" t="n"/>
      <c r="G61" s="5">
        <f>IF(OR(F61="",E61=0),"",F61/E61-1)</f>
        <v/>
      </c>
      <c r="H61" s="4" t="n"/>
      <c r="I61" s="4" t="n"/>
    </row>
    <row r="62">
      <c r="A62" s="4" t="inlineStr">
        <is>
          <t>detail.EZDK Rebar.stage1.prices_usd.handling_t</t>
        </is>
      </c>
      <c r="B62" s="4" t="inlineStr">
        <is>
          <t>EZDK Rebar</t>
        </is>
      </c>
      <c r="C62" s="4" t="inlineStr">
        <is>
          <t>stage1 · prices usd · handling t</t>
        </is>
      </c>
      <c r="D62" s="4" t="inlineStr"/>
      <c r="E62" s="4" t="n">
        <v>0</v>
      </c>
      <c r="F62" s="4" t="n"/>
      <c r="G62" s="5">
        <f>IF(OR(F62="",E62=0),"",F62/E62-1)</f>
        <v/>
      </c>
      <c r="H62" s="4" t="n"/>
      <c r="I62" s="4" t="n"/>
    </row>
    <row r="63">
      <c r="A63" s="4" t="inlineStr">
        <is>
          <t>detail.EZDK Rebar.stage1.prices_usd.cutting_t</t>
        </is>
      </c>
      <c r="B63" s="4" t="inlineStr">
        <is>
          <t>EZDK Rebar</t>
        </is>
      </c>
      <c r="C63" s="4" t="inlineStr">
        <is>
          <t>stage1 · prices usd · cutting t</t>
        </is>
      </c>
      <c r="D63" s="4" t="inlineStr"/>
      <c r="E63" s="4" t="n">
        <v>0</v>
      </c>
      <c r="F63" s="4" t="n"/>
      <c r="G63" s="5">
        <f>IF(OR(F63="",E63=0),"",F63/E63-1)</f>
        <v/>
      </c>
      <c r="H63" s="4" t="n"/>
      <c r="I63" s="4" t="n"/>
    </row>
    <row r="64">
      <c r="A64" s="4" t="inlineStr">
        <is>
          <t>detail.EZDK Rebar.stage2.byproduct_pct_of_molten_steel</t>
        </is>
      </c>
      <c r="B64" s="4" t="inlineStr">
        <is>
          <t>EZDK Rebar</t>
        </is>
      </c>
      <c r="C64" s="4" t="inlineStr">
        <is>
          <t>stage2 · byproduct pct of molten steel</t>
        </is>
      </c>
      <c r="D64" s="4" t="inlineStr"/>
      <c r="E64" s="4" t="n">
        <v>-0.002631984726906559</v>
      </c>
      <c r="F64" s="4" t="n"/>
      <c r="G64" s="5">
        <f>IF(OR(F64="",E64=0),"",F64/E64-1)</f>
        <v/>
      </c>
      <c r="H64" s="4" t="n"/>
      <c r="I64" s="4" t="n"/>
    </row>
    <row r="65">
      <c r="A65" s="4" t="inlineStr">
        <is>
          <t>detail.EZDK Rebar.stage2.consumption.aux_materials_kg</t>
        </is>
      </c>
      <c r="B65" s="4" t="inlineStr">
        <is>
          <t>EZDK Rebar</t>
        </is>
      </c>
      <c r="C65" s="4" t="inlineStr">
        <is>
          <t>stage2 · consumption · aux materials kg</t>
        </is>
      </c>
      <c r="D65" s="4" t="inlineStr"/>
      <c r="E65" s="4" t="n">
        <v>0.003021438574240115</v>
      </c>
      <c r="F65" s="4" t="n"/>
      <c r="G65" s="5">
        <f>IF(OR(F65="",E65=0),"",F65/E65-1)</f>
        <v/>
      </c>
      <c r="H65" s="4" t="n"/>
      <c r="I65" s="4" t="n"/>
    </row>
    <row r="66">
      <c r="A66" s="4" t="inlineStr">
        <is>
          <t>detail.EZDK Rebar.stage2.consumption.refractories_kg</t>
        </is>
      </c>
      <c r="B66" s="4" t="inlineStr">
        <is>
          <t>EZDK Rebar</t>
        </is>
      </c>
      <c r="C66" s="4" t="inlineStr">
        <is>
          <t>stage2 · consumption · refractories kg</t>
        </is>
      </c>
      <c r="D66" s="4" t="inlineStr"/>
      <c r="E66" s="4" t="n">
        <v>1.837549592597855</v>
      </c>
      <c r="F66" s="4" t="n"/>
      <c r="G66" s="5">
        <f>IF(OR(F66="",E66=0),"",F66/E66-1)</f>
        <v/>
      </c>
      <c r="H66" s="4" t="n"/>
      <c r="I66" s="4" t="n"/>
    </row>
    <row r="67">
      <c r="A67" s="4" t="inlineStr">
        <is>
          <t>detail.EZDK Rebar.stage2.consumption.electricity_kwh</t>
        </is>
      </c>
      <c r="B67" s="4" t="inlineStr">
        <is>
          <t>EZDK Rebar</t>
        </is>
      </c>
      <c r="C67" s="4" t="inlineStr">
        <is>
          <t>stage2 · consumption · electricity kwh</t>
        </is>
      </c>
      <c r="D67" s="4" t="inlineStr"/>
      <c r="E67" s="4" t="n">
        <v>5.383879813734355</v>
      </c>
      <c r="F67" s="4" t="n"/>
      <c r="G67" s="5">
        <f>IF(OR(F67="",E67=0),"",F67/E67-1)</f>
        <v/>
      </c>
      <c r="H67" s="4" t="n"/>
      <c r="I67" s="4" t="n"/>
    </row>
    <row r="68">
      <c r="A68" s="4" t="inlineStr">
        <is>
          <t>detail.EZDK Rebar.stage2.consumption.natural_gas_nm3</t>
        </is>
      </c>
      <c r="B68" s="4" t="inlineStr">
        <is>
          <t>EZDK Rebar</t>
        </is>
      </c>
      <c r="C68" s="4" t="inlineStr">
        <is>
          <t>stage2 · consumption · natural gas nm3</t>
        </is>
      </c>
      <c r="D68" s="4" t="inlineStr"/>
      <c r="E68" s="4" t="n">
        <v>6.704507451126505</v>
      </c>
      <c r="F68" s="4" t="n"/>
      <c r="G68" s="5">
        <f>IF(OR(F68="",E68=0),"",F68/E68-1)</f>
        <v/>
      </c>
      <c r="H68" s="4" t="n"/>
      <c r="I68" s="4" t="n"/>
    </row>
    <row r="69">
      <c r="A69" s="4" t="inlineStr">
        <is>
          <t>detail.EZDK Rebar.stage2.consumption.water_m3</t>
        </is>
      </c>
      <c r="B69" s="4" t="inlineStr">
        <is>
          <t>EZDK Rebar</t>
        </is>
      </c>
      <c r="C69" s="4" t="inlineStr">
        <is>
          <t>stage2 · consumption · water m3</t>
        </is>
      </c>
      <c r="D69" s="4" t="inlineStr"/>
      <c r="E69" s="4" t="n">
        <v>0.4983862928209065</v>
      </c>
      <c r="F69" s="4" t="n"/>
      <c r="G69" s="5">
        <f>IF(OR(F69="",E69=0),"",F69/E69-1)</f>
        <v/>
      </c>
      <c r="H69" s="4" t="n"/>
      <c r="I69" s="4" t="n"/>
    </row>
    <row r="70">
      <c r="A70" s="4" t="inlineStr">
        <is>
          <t>detail.EZDK Rebar.stage2.consumption.oxygen_nm3</t>
        </is>
      </c>
      <c r="B70" s="4" t="inlineStr">
        <is>
          <t>EZDK Rebar</t>
        </is>
      </c>
      <c r="C70" s="4" t="inlineStr">
        <is>
          <t>stage2 · consumption · oxygen nm3</t>
        </is>
      </c>
      <c r="D70" s="4" t="inlineStr"/>
      <c r="E70" s="4" t="n">
        <v>3.481301525239457</v>
      </c>
      <c r="F70" s="4" t="n"/>
      <c r="G70" s="5">
        <f>IF(OR(F70="",E70=0),"",F70/E70-1)</f>
        <v/>
      </c>
      <c r="H70" s="4" t="n"/>
      <c r="I70" s="4" t="n"/>
    </row>
    <row r="71">
      <c r="A71" s="4" t="inlineStr">
        <is>
          <t>detail.EZDK Rebar.stage2.consumption.nitrogen_nm3</t>
        </is>
      </c>
      <c r="B71" s="4" t="inlineStr">
        <is>
          <t>EZDK Rebar</t>
        </is>
      </c>
      <c r="C71" s="4" t="inlineStr">
        <is>
          <t>stage2 · consumption · nitrogen nm3</t>
        </is>
      </c>
      <c r="D71" s="4" t="inlineStr"/>
      <c r="E71" s="4" t="n">
        <v>0</v>
      </c>
      <c r="F71" s="4" t="n"/>
      <c r="G71" s="5">
        <f>IF(OR(F71="",E71=0),"",F71/E71-1)</f>
        <v/>
      </c>
      <c r="H71" s="4" t="n"/>
      <c r="I71" s="4" t="n"/>
    </row>
    <row r="72">
      <c r="A72" s="4" t="inlineStr">
        <is>
          <t>detail.EZDK Rebar.stage2.consumption.argon_nm3</t>
        </is>
      </c>
      <c r="B72" s="4" t="inlineStr">
        <is>
          <t>EZDK Rebar</t>
        </is>
      </c>
      <c r="C72" s="4" t="inlineStr">
        <is>
          <t>stage2 · consumption · argon nm3</t>
        </is>
      </c>
      <c r="D72" s="4" t="inlineStr"/>
      <c r="E72" s="4" t="n">
        <v>0.0007121962353565979</v>
      </c>
      <c r="F72" s="4" t="n"/>
      <c r="G72" s="5">
        <f>IF(OR(F72="",E72=0),"",F72/E72-1)</f>
        <v/>
      </c>
      <c r="H72" s="4" t="n"/>
      <c r="I72" s="4" t="n"/>
    </row>
    <row r="73">
      <c r="A73" s="4" t="inlineStr">
        <is>
          <t>detail.EZDK Rebar.stage2.prices_usd.byproduct_t</t>
        </is>
      </c>
      <c r="B73" s="4" t="inlineStr">
        <is>
          <t>EZDK Rebar</t>
        </is>
      </c>
      <c r="C73" s="4" t="inlineStr">
        <is>
          <t>stage2 · prices usd · byproduct t</t>
        </is>
      </c>
      <c r="D73" s="4" t="inlineStr"/>
      <c r="E73" s="4" t="n">
        <v>350.2890647211095</v>
      </c>
      <c r="F73" s="4" t="n"/>
      <c r="G73" s="5">
        <f>IF(OR(F73="",E73=0),"",F73/E73-1)</f>
        <v/>
      </c>
      <c r="H73" s="4" t="n"/>
      <c r="I73" s="4" t="n"/>
    </row>
    <row r="74">
      <c r="A74" s="4" t="inlineStr">
        <is>
          <t>detail.EZDK Rebar.stage2.prices_usd.aux_materials_kg</t>
        </is>
      </c>
      <c r="B74" s="4" t="inlineStr">
        <is>
          <t>EZDK Rebar</t>
        </is>
      </c>
      <c r="C74" s="4" t="inlineStr">
        <is>
          <t>stage2 · prices usd · aux materials kg</t>
        </is>
      </c>
      <c r="D74" s="4" t="inlineStr"/>
      <c r="E74" s="4" t="n">
        <v>559.92857142857</v>
      </c>
      <c r="F74" s="4" t="n"/>
      <c r="G74" s="5">
        <f>IF(OR(F74="",E74=0),"",F74/E74-1)</f>
        <v/>
      </c>
      <c r="H74" s="4" t="n"/>
      <c r="I74" s="4" t="n"/>
    </row>
    <row r="75">
      <c r="A75" s="4" t="inlineStr">
        <is>
          <t>detail.EZDK Rebar.stage2.prices_usd.refractories_kg</t>
        </is>
      </c>
      <c r="B75" s="4" t="inlineStr">
        <is>
          <t>EZDK Rebar</t>
        </is>
      </c>
      <c r="C75" s="4" t="inlineStr">
        <is>
          <t>stage2 · prices usd · refractories kg</t>
        </is>
      </c>
      <c r="D75" s="4" t="inlineStr"/>
      <c r="E75" s="4" t="n">
        <v>678.1113568379643</v>
      </c>
      <c r="F75" s="4" t="n"/>
      <c r="G75" s="5">
        <f>IF(OR(F75="",E75=0),"",F75/E75-1)</f>
        <v/>
      </c>
      <c r="H75" s="4" t="n"/>
      <c r="I75" s="4" t="n"/>
    </row>
    <row r="76">
      <c r="A76" s="4" t="inlineStr">
        <is>
          <t>detail.EZDK Rebar.stage2.prices_usd.natural_gas_nm3</t>
        </is>
      </c>
      <c r="B76" s="4" t="inlineStr">
        <is>
          <t>EZDK Rebar</t>
        </is>
      </c>
      <c r="C76" s="4" t="inlineStr">
        <is>
          <t>stage2 · prices usd · natural gas nm3</t>
        </is>
      </c>
      <c r="D76" s="4" t="inlineStr"/>
      <c r="E76" s="4" t="n">
        <v>0.250724642126514</v>
      </c>
      <c r="F76" s="4" t="n"/>
      <c r="G76" s="5">
        <f>IF(OR(F76="",E76=0),"",F76/E76-1)</f>
        <v/>
      </c>
      <c r="H76" s="4" t="n"/>
      <c r="I76" s="4" t="n"/>
    </row>
    <row r="77">
      <c r="A77" s="4" t="inlineStr">
        <is>
          <t>detail.EZDK Rebar.stage2.prices_usd.water_m3</t>
        </is>
      </c>
      <c r="B77" s="4" t="inlineStr">
        <is>
          <t>EZDK Rebar</t>
        </is>
      </c>
      <c r="C77" s="4" t="inlineStr">
        <is>
          <t>stage2 · prices usd · water m3</t>
        </is>
      </c>
      <c r="D77" s="4" t="inlineStr"/>
      <c r="E77" s="4" t="n">
        <v>0.2716395510654938</v>
      </c>
      <c r="F77" s="4" t="n"/>
      <c r="G77" s="5">
        <f>IF(OR(F77="",E77=0),"",F77/E77-1)</f>
        <v/>
      </c>
      <c r="H77" s="4" t="n"/>
      <c r="I77" s="4" t="n"/>
    </row>
    <row r="78">
      <c r="A78" s="4" t="inlineStr">
        <is>
          <t>detail.EZDK Rebar.stage2.prices_usd.oxygen_nm3</t>
        </is>
      </c>
      <c r="B78" s="4" t="inlineStr">
        <is>
          <t>EZDK Rebar</t>
        </is>
      </c>
      <c r="C78" s="4" t="inlineStr">
        <is>
          <t>stage2 · prices usd · oxygen nm3</t>
        </is>
      </c>
      <c r="D78" s="4" t="inlineStr"/>
      <c r="E78" s="4" t="n">
        <v>0.1716647463083416</v>
      </c>
      <c r="F78" s="4" t="n"/>
      <c r="G78" s="5">
        <f>IF(OR(F78="",E78=0),"",F78/E78-1)</f>
        <v/>
      </c>
      <c r="H78" s="4" t="n"/>
      <c r="I78" s="4" t="n"/>
    </row>
    <row r="79">
      <c r="A79" s="4" t="inlineStr">
        <is>
          <t>detail.EZDK Rebar.stage2.prices_usd.nitrogen_nm3</t>
        </is>
      </c>
      <c r="B79" s="4" t="inlineStr">
        <is>
          <t>EZDK Rebar</t>
        </is>
      </c>
      <c r="C79" s="4" t="inlineStr">
        <is>
          <t>stage2 · prices usd · nitrogen nm3</t>
        </is>
      </c>
      <c r="D79" s="4" t="inlineStr"/>
      <c r="E79" s="4" t="n">
        <v>0</v>
      </c>
      <c r="F79" s="4" t="n"/>
      <c r="G79" s="5">
        <f>IF(OR(F79="",E79=0),"",F79/E79-1)</f>
        <v/>
      </c>
      <c r="H79" s="4" t="n"/>
      <c r="I79" s="4" t="n"/>
    </row>
    <row r="80">
      <c r="A80" s="4" t="inlineStr">
        <is>
          <t>detail.EZDK Rebar.stage2.prices_usd.argon_nm3</t>
        </is>
      </c>
      <c r="B80" s="4" t="inlineStr">
        <is>
          <t>EZDK Rebar</t>
        </is>
      </c>
      <c r="C80" s="4" t="inlineStr">
        <is>
          <t>stage2 · prices usd · argon nm3</t>
        </is>
      </c>
      <c r="D80" s="4" t="inlineStr"/>
      <c r="E80" s="4" t="n">
        <v>1.928367316863704</v>
      </c>
      <c r="F80" s="4" t="n"/>
      <c r="G80" s="5">
        <f>IF(OR(F80="",E80=0),"",F80/E80-1)</f>
        <v/>
      </c>
      <c r="H80" s="4" t="n"/>
      <c r="I80" s="4" t="n"/>
    </row>
    <row r="81">
      <c r="A81" s="4" t="inlineStr">
        <is>
          <t>detail.EFS Rebar.stage1.blend_pct.home_scrap</t>
        </is>
      </c>
      <c r="B81" s="4" t="inlineStr">
        <is>
          <t>EFS Rebar</t>
        </is>
      </c>
      <c r="C81" s="4" t="inlineStr">
        <is>
          <t>stage1 · blend pct · home scrap</t>
        </is>
      </c>
      <c r="D81" s="4" t="inlineStr">
        <is>
          <t>%</t>
        </is>
      </c>
      <c r="E81" s="4" t="n">
        <v>0</v>
      </c>
      <c r="F81" s="4" t="n"/>
      <c r="G81" s="5">
        <f>IF(OR(F81="",E81=0),"",F81/E81-1)</f>
        <v/>
      </c>
      <c r="H81" s="4" t="n"/>
      <c r="I81" s="4" t="n"/>
    </row>
    <row r="82">
      <c r="A82" s="4" t="inlineStr">
        <is>
          <t>detail.EFS Rebar.stage1.blend_pct.pig_iron</t>
        </is>
      </c>
      <c r="B82" s="4" t="inlineStr">
        <is>
          <t>EFS Rebar</t>
        </is>
      </c>
      <c r="C82" s="4" t="inlineStr">
        <is>
          <t>stage1 · blend pct · pig iron</t>
        </is>
      </c>
      <c r="D82" s="4" t="inlineStr">
        <is>
          <t>%</t>
        </is>
      </c>
      <c r="E82" s="4" t="n">
        <v>0</v>
      </c>
      <c r="F82" s="4" t="n"/>
      <c r="G82" s="5">
        <f>IF(OR(F82="",E82=0),"",F82/E82-1)</f>
        <v/>
      </c>
      <c r="H82" s="4" t="n"/>
      <c r="I82" s="4" t="n"/>
    </row>
    <row r="83">
      <c r="A83" s="4" t="inlineStr">
        <is>
          <t>detail.EFS Rebar.stage1.byproduct_pct_of_solid_charge</t>
        </is>
      </c>
      <c r="B83" s="4" t="inlineStr">
        <is>
          <t>EFS Rebar</t>
        </is>
      </c>
      <c r="C83" s="4" t="inlineStr">
        <is>
          <t>stage1 · byproduct pct of solid charge</t>
        </is>
      </c>
      <c r="D83" s="4" t="inlineStr"/>
      <c r="E83" s="4" t="n">
        <v>-0.03456019358191833</v>
      </c>
      <c r="F83" s="4" t="n"/>
      <c r="G83" s="5">
        <f>IF(OR(F83="",E83=0),"",F83/E83-1)</f>
        <v/>
      </c>
      <c r="H83" s="4" t="n"/>
      <c r="I83" s="4" t="n"/>
    </row>
    <row r="84">
      <c r="A84" s="4" t="inlineStr">
        <is>
          <t>detail.EFS Rebar.stage1.consumption.aux_materials_kg</t>
        </is>
      </c>
      <c r="B84" s="4" t="inlineStr">
        <is>
          <t>EFS Rebar</t>
        </is>
      </c>
      <c r="C84" s="4" t="inlineStr">
        <is>
          <t>stage1 · consumption · aux materials kg</t>
        </is>
      </c>
      <c r="D84" s="4" t="inlineStr"/>
      <c r="E84" s="4" t="n">
        <v>422.601588476686</v>
      </c>
      <c r="F84" s="4" t="n"/>
      <c r="G84" s="5">
        <f>IF(OR(F84="",E84=0),"",F84/E84-1)</f>
        <v/>
      </c>
      <c r="H84" s="4" t="n"/>
      <c r="I84" s="4" t="n"/>
    </row>
    <row r="85">
      <c r="A85" s="4" t="inlineStr">
        <is>
          <t>detail.EFS Rebar.stage1.consumption.refractories_kg</t>
        </is>
      </c>
      <c r="B85" s="4" t="inlineStr">
        <is>
          <t>EFS Rebar</t>
        </is>
      </c>
      <c r="C85" s="4" t="inlineStr">
        <is>
          <t>stage1 · consumption · refractories kg</t>
        </is>
      </c>
      <c r="D85" s="4" t="inlineStr"/>
      <c r="E85" s="4" t="n">
        <v>10.50859753004164</v>
      </c>
      <c r="F85" s="4" t="n"/>
      <c r="G85" s="5">
        <f>IF(OR(F85="",E85=0),"",F85/E85-1)</f>
        <v/>
      </c>
      <c r="H85" s="4" t="n"/>
      <c r="I85" s="4" t="n"/>
    </row>
    <row r="86">
      <c r="A86" s="4" t="inlineStr">
        <is>
          <t>detail.EFS Rebar.stage1.consumption.electrodes_kg</t>
        </is>
      </c>
      <c r="B86" s="4" t="inlineStr">
        <is>
          <t>EFS Rebar</t>
        </is>
      </c>
      <c r="C86" s="4" t="inlineStr">
        <is>
          <t>stage1 · consumption · electrodes kg</t>
        </is>
      </c>
      <c r="D86" s="4" t="inlineStr"/>
      <c r="E86" s="4" t="n">
        <v>2.580561715264233</v>
      </c>
      <c r="F86" s="4" t="n"/>
      <c r="G86" s="5">
        <f>IF(OR(F86="",E86=0),"",F86/E86-1)</f>
        <v/>
      </c>
      <c r="H86" s="4" t="n"/>
      <c r="I86" s="4" t="n"/>
    </row>
    <row r="87">
      <c r="A87" s="4" t="inlineStr">
        <is>
          <t>detail.EFS Rebar.stage1.consumption.other_fillers_kg</t>
        </is>
      </c>
      <c r="B87" s="4" t="inlineStr">
        <is>
          <t>EFS Rebar</t>
        </is>
      </c>
      <c r="C87" s="4" t="inlineStr">
        <is>
          <t>stage1 · consumption · other fillers kg</t>
        </is>
      </c>
      <c r="D87" s="4" t="inlineStr"/>
      <c r="E87" s="4" t="n">
        <v>1.284258610070121</v>
      </c>
      <c r="F87" s="4" t="n"/>
      <c r="G87" s="5">
        <f>IF(OR(F87="",E87=0),"",F87/E87-1)</f>
        <v/>
      </c>
      <c r="H87" s="4" t="n"/>
      <c r="I87" s="4" t="n"/>
    </row>
    <row r="88">
      <c r="A88" s="4" t="inlineStr">
        <is>
          <t>detail.EFS Rebar.stage1.consumption.electricity_aux_kwh</t>
        </is>
      </c>
      <c r="B88" s="4" t="inlineStr">
        <is>
          <t>EFS Rebar</t>
        </is>
      </c>
      <c r="C88" s="4" t="inlineStr">
        <is>
          <t>stage1 · consumption · electricity aux kwh</t>
        </is>
      </c>
      <c r="D88" s="4" t="inlineStr"/>
      <c r="E88" s="4" t="n">
        <v>239.7153886980133</v>
      </c>
      <c r="F88" s="4" t="n"/>
      <c r="G88" s="5">
        <f>IF(OR(F88="",E88=0),"",F88/E88-1)</f>
        <v/>
      </c>
      <c r="H88" s="4" t="n"/>
      <c r="I88" s="4" t="n"/>
    </row>
    <row r="89">
      <c r="A89" s="4" t="inlineStr">
        <is>
          <t>detail.EFS Rebar.stage1.consumption.natural_gas_nm3</t>
        </is>
      </c>
      <c r="B89" s="4" t="inlineStr">
        <is>
          <t>EFS Rebar</t>
        </is>
      </c>
      <c r="C89" s="4" t="inlineStr">
        <is>
          <t>stage1 · consumption · natural gas nm3</t>
        </is>
      </c>
      <c r="D89" s="4" t="inlineStr"/>
      <c r="E89" s="4" t="n">
        <v>14.59305401382995</v>
      </c>
      <c r="F89" s="4" t="n"/>
      <c r="G89" s="5">
        <f>IF(OR(F89="",E89=0),"",F89/E89-1)</f>
        <v/>
      </c>
      <c r="H89" s="4" t="n"/>
      <c r="I89" s="4" t="n"/>
    </row>
    <row r="90">
      <c r="A90" s="4" t="inlineStr">
        <is>
          <t>detail.EFS Rebar.stage1.consumption.water_m3</t>
        </is>
      </c>
      <c r="B90" s="4" t="inlineStr">
        <is>
          <t>EFS Rebar</t>
        </is>
      </c>
      <c r="C90" s="4" t="inlineStr">
        <is>
          <t>stage1 · consumption · water m3</t>
        </is>
      </c>
      <c r="D90" s="4" t="inlineStr"/>
      <c r="E90" s="4" t="n">
        <v>1.548884036771966</v>
      </c>
      <c r="F90" s="4" t="n"/>
      <c r="G90" s="5">
        <f>IF(OR(F90="",E90=0),"",F90/E90-1)</f>
        <v/>
      </c>
      <c r="H90" s="4" t="n"/>
      <c r="I90" s="4" t="n"/>
    </row>
    <row r="91">
      <c r="A91" s="4" t="inlineStr">
        <is>
          <t>detail.EFS Rebar.stage1.consumption.oxygen_nm3</t>
        </is>
      </c>
      <c r="B91" s="4" t="inlineStr">
        <is>
          <t>EFS Rebar</t>
        </is>
      </c>
      <c r="C91" s="4" t="inlineStr">
        <is>
          <t>stage1 · consumption · oxygen nm3</t>
        </is>
      </c>
      <c r="D91" s="4" t="inlineStr"/>
      <c r="E91" s="4" t="n">
        <v>34.79748753864489</v>
      </c>
      <c r="F91" s="4" t="n"/>
      <c r="G91" s="5">
        <f>IF(OR(F91="",E91=0),"",F91/E91-1)</f>
        <v/>
      </c>
      <c r="H91" s="4" t="n"/>
      <c r="I91" s="4" t="n"/>
    </row>
    <row r="92">
      <c r="A92" s="4" t="inlineStr">
        <is>
          <t>detail.EFS Rebar.stage1.consumption.nitrogen_nm3</t>
        </is>
      </c>
      <c r="B92" s="4" t="inlineStr">
        <is>
          <t>EFS Rebar</t>
        </is>
      </c>
      <c r="C92" s="4" t="inlineStr">
        <is>
          <t>stage1 · consumption · nitrogen nm3</t>
        </is>
      </c>
      <c r="D92" s="4" t="inlineStr"/>
      <c r="E92" s="4" t="n">
        <v>4.086498118550487</v>
      </c>
      <c r="F92" s="4" t="n"/>
      <c r="G92" s="5">
        <f>IF(OR(F92="",E92=0),"",F92/E92-1)</f>
        <v/>
      </c>
      <c r="H92" s="4" t="n"/>
      <c r="I92" s="4" t="n"/>
    </row>
    <row r="93">
      <c r="A93" s="4" t="inlineStr">
        <is>
          <t>detail.EFS Rebar.stage1.consumption.argon_nm3</t>
        </is>
      </c>
      <c r="B93" s="4" t="inlineStr">
        <is>
          <t>EFS Rebar</t>
        </is>
      </c>
      <c r="C93" s="4" t="inlineStr">
        <is>
          <t>stage1 · consumption · argon nm3</t>
        </is>
      </c>
      <c r="D93" s="4" t="inlineStr"/>
      <c r="E93" s="4" t="n">
        <v>0.3045588411940751</v>
      </c>
      <c r="F93" s="4" t="n"/>
      <c r="G93" s="5">
        <f>IF(OR(F93="",E93=0),"",F93/E93-1)</f>
        <v/>
      </c>
      <c r="H93" s="4" t="n"/>
      <c r="I93" s="4" t="n"/>
    </row>
    <row r="94">
      <c r="A94" s="4" t="inlineStr">
        <is>
          <t>detail.EFS Rebar.stage1.consumption.handling_kg</t>
        </is>
      </c>
      <c r="B94" s="4" t="inlineStr">
        <is>
          <t>EFS Rebar</t>
        </is>
      </c>
      <c r="C94" s="4" t="inlineStr">
        <is>
          <t>stage1 · consumption · handling kg</t>
        </is>
      </c>
      <c r="D94" s="4" t="inlineStr"/>
      <c r="E94" s="4" t="n">
        <v>0.9868461249466488</v>
      </c>
      <c r="F94" s="4" t="n"/>
      <c r="G94" s="5">
        <f>IF(OR(F94="",E94=0),"",F94/E94-1)</f>
        <v/>
      </c>
      <c r="H94" s="4" t="n"/>
      <c r="I94" s="4" t="n"/>
    </row>
    <row r="95">
      <c r="A95" s="4" t="inlineStr">
        <is>
          <t>detail.EFS Rebar.stage1.consumption.cutting_kg</t>
        </is>
      </c>
      <c r="B95" s="4" t="inlineStr">
        <is>
          <t>EFS Rebar</t>
        </is>
      </c>
      <c r="C95" s="4" t="inlineStr">
        <is>
          <t>stage1 · consumption · cutting kg</t>
        </is>
      </c>
      <c r="D95" s="4" t="inlineStr"/>
      <c r="E95" s="4" t="n">
        <v>0</v>
      </c>
      <c r="F95" s="4" t="n"/>
      <c r="G95" s="5">
        <f>IF(OR(F95="",E95=0),"",F95/E95-1)</f>
        <v/>
      </c>
      <c r="H95" s="4" t="n"/>
      <c r="I95" s="4" t="n"/>
    </row>
    <row r="96">
      <c r="A96" s="4" t="inlineStr">
        <is>
          <t>detail.EFS Rebar.stage1.prices_usd.home_scrap_t</t>
        </is>
      </c>
      <c r="B96" s="4" t="inlineStr">
        <is>
          <t>EFS Rebar</t>
        </is>
      </c>
      <c r="C96" s="4" t="inlineStr">
        <is>
          <t>stage1 · prices usd · home scrap t</t>
        </is>
      </c>
      <c r="D96" s="4" t="inlineStr"/>
      <c r="E96" s="4" t="n">
        <v>0</v>
      </c>
      <c r="F96" s="4" t="n"/>
      <c r="G96" s="5">
        <f>IF(OR(F96="",E96=0),"",F96/E96-1)</f>
        <v/>
      </c>
      <c r="H96" s="4" t="n"/>
      <c r="I96" s="4" t="n"/>
    </row>
    <row r="97">
      <c r="A97" s="4" t="inlineStr">
        <is>
          <t>detail.EFS Rebar.stage1.prices_usd.pig_iron_t</t>
        </is>
      </c>
      <c r="B97" s="4" t="inlineStr">
        <is>
          <t>EFS Rebar</t>
        </is>
      </c>
      <c r="C97" s="4" t="inlineStr">
        <is>
          <t>stage1 · prices usd · pig iron t</t>
        </is>
      </c>
      <c r="D97" s="4" t="inlineStr"/>
      <c r="E97" s="4" t="n">
        <v>0</v>
      </c>
      <c r="F97" s="4" t="n"/>
      <c r="G97" s="5">
        <f>IF(OR(F97="",E97=0),"",F97/E97-1)</f>
        <v/>
      </c>
      <c r="H97" s="4" t="n"/>
      <c r="I97" s="4" t="n"/>
    </row>
    <row r="98">
      <c r="A98" s="4" t="inlineStr">
        <is>
          <t>detail.EFS Rebar.stage1.prices_usd.byproduct_t</t>
        </is>
      </c>
      <c r="B98" s="4" t="inlineStr">
        <is>
          <t>EFS Rebar</t>
        </is>
      </c>
      <c r="C98" s="4" t="inlineStr">
        <is>
          <t>stage1 · prices usd · byproduct t</t>
        </is>
      </c>
      <c r="D98" s="4" t="inlineStr"/>
      <c r="E98" s="4" t="n">
        <v>352.5046788787349</v>
      </c>
      <c r="F98" s="4" t="n"/>
      <c r="G98" s="5">
        <f>IF(OR(F98="",E98=0),"",F98/E98-1)</f>
        <v/>
      </c>
      <c r="H98" s="4" t="n"/>
      <c r="I98" s="4" t="n"/>
    </row>
    <row r="99">
      <c r="A99" s="4" t="inlineStr">
        <is>
          <t>detail.EFS Rebar.stage1.prices_usd.aux_materials_kg</t>
        </is>
      </c>
      <c r="B99" s="4" t="inlineStr">
        <is>
          <t>EFS Rebar</t>
        </is>
      </c>
      <c r="C99" s="4" t="inlineStr">
        <is>
          <t>stage1 · prices usd · aux materials kg</t>
        </is>
      </c>
      <c r="D99" s="4" t="inlineStr"/>
      <c r="E99" s="4" t="n">
        <v>70.36408065384602</v>
      </c>
      <c r="F99" s="4" t="n"/>
      <c r="G99" s="5">
        <f>IF(OR(F99="",E99=0),"",F99/E99-1)</f>
        <v/>
      </c>
      <c r="H99" s="4" t="n"/>
      <c r="I99" s="4" t="n"/>
    </row>
    <row r="100">
      <c r="A100" s="4" t="inlineStr">
        <is>
          <t>detail.EFS Rebar.stage1.prices_usd.refractories_kg</t>
        </is>
      </c>
      <c r="B100" s="4" t="inlineStr">
        <is>
          <t>EFS Rebar</t>
        </is>
      </c>
      <c r="C100" s="4" t="inlineStr">
        <is>
          <t>stage1 · prices usd · refractories kg</t>
        </is>
      </c>
      <c r="D100" s="4" t="inlineStr"/>
      <c r="E100" s="4" t="n">
        <v>1089.536903658326</v>
      </c>
      <c r="F100" s="4" t="n"/>
      <c r="G100" s="5">
        <f>IF(OR(F100="",E100=0),"",F100/E100-1)</f>
        <v/>
      </c>
      <c r="H100" s="4" t="n"/>
      <c r="I100" s="4" t="n"/>
    </row>
    <row r="101">
      <c r="A101" s="4" t="inlineStr">
        <is>
          <t>detail.EFS Rebar.stage1.prices_usd.electrodes_kg</t>
        </is>
      </c>
      <c r="B101" s="4" t="inlineStr">
        <is>
          <t>EFS Rebar</t>
        </is>
      </c>
      <c r="C101" s="4" t="inlineStr">
        <is>
          <t>stage1 · prices usd · electrodes kg</t>
        </is>
      </c>
      <c r="D101" s="4" t="inlineStr"/>
      <c r="E101" s="4" t="n">
        <v>8489.954234065033</v>
      </c>
      <c r="F101" s="4" t="n"/>
      <c r="G101" s="5">
        <f>IF(OR(F101="",E101=0),"",F101/E101-1)</f>
        <v/>
      </c>
      <c r="H101" s="4" t="n"/>
      <c r="I101" s="4" t="n"/>
    </row>
    <row r="102">
      <c r="A102" s="4" t="inlineStr">
        <is>
          <t>detail.EFS Rebar.stage1.prices_usd.other_fillers_kg</t>
        </is>
      </c>
      <c r="B102" s="4" t="inlineStr">
        <is>
          <t>EFS Rebar</t>
        </is>
      </c>
      <c r="C102" s="4" t="inlineStr">
        <is>
          <t>stage1 · prices usd · other fillers kg</t>
        </is>
      </c>
      <c r="D102" s="4" t="inlineStr"/>
      <c r="E102" s="4" t="n">
        <v>233.463515754561</v>
      </c>
      <c r="F102" s="4" t="n"/>
      <c r="G102" s="5">
        <f>IF(OR(F102="",E102=0),"",F102/E102-1)</f>
        <v/>
      </c>
      <c r="H102" s="4" t="n"/>
      <c r="I102" s="4" t="n"/>
    </row>
    <row r="103">
      <c r="A103" s="4" t="inlineStr">
        <is>
          <t>detail.EFS Rebar.stage1.prices_usd.natural_gas_nm3</t>
        </is>
      </c>
      <c r="B103" s="4" t="inlineStr">
        <is>
          <t>EFS Rebar</t>
        </is>
      </c>
      <c r="C103" s="4" t="inlineStr">
        <is>
          <t>stage1 · prices usd · natural gas nm3</t>
        </is>
      </c>
      <c r="D103" s="4" t="inlineStr"/>
      <c r="E103" s="4" t="n">
        <v>0.250724642126514</v>
      </c>
      <c r="F103" s="4" t="n"/>
      <c r="G103" s="5">
        <f>IF(OR(F103="",E103=0),"",F103/E103-1)</f>
        <v/>
      </c>
      <c r="H103" s="4" t="n"/>
      <c r="I103" s="4" t="n"/>
    </row>
    <row r="104">
      <c r="A104" s="4" t="inlineStr">
        <is>
          <t>detail.EFS Rebar.stage1.prices_usd.water_m3</t>
        </is>
      </c>
      <c r="B104" s="4" t="inlineStr">
        <is>
          <t>EFS Rebar</t>
        </is>
      </c>
      <c r="C104" s="4" t="inlineStr">
        <is>
          <t>stage1 · prices usd · water m3</t>
        </is>
      </c>
      <c r="D104" s="4" t="inlineStr"/>
      <c r="E104" s="4" t="n">
        <v>0.2716395510654938</v>
      </c>
      <c r="F104" s="4" t="n"/>
      <c r="G104" s="5">
        <f>IF(OR(F104="",E104=0),"",F104/E104-1)</f>
        <v/>
      </c>
      <c r="H104" s="4" t="n"/>
      <c r="I104" s="4" t="n"/>
    </row>
    <row r="105">
      <c r="A105" s="4" t="inlineStr">
        <is>
          <t>detail.EFS Rebar.stage1.prices_usd.oxygen_nm3</t>
        </is>
      </c>
      <c r="B105" s="4" t="inlineStr">
        <is>
          <t>EFS Rebar</t>
        </is>
      </c>
      <c r="C105" s="4" t="inlineStr">
        <is>
          <t>stage1 · prices usd · oxygen nm3</t>
        </is>
      </c>
      <c r="D105" s="4" t="inlineStr"/>
      <c r="E105" s="4" t="n">
        <v>0.1220358154528309</v>
      </c>
      <c r="F105" s="4" t="n"/>
      <c r="G105" s="5">
        <f>IF(OR(F105="",E105=0),"",F105/E105-1)</f>
        <v/>
      </c>
      <c r="H105" s="4" t="n"/>
      <c r="I105" s="4" t="n"/>
    </row>
    <row r="106">
      <c r="A106" s="4" t="inlineStr">
        <is>
          <t>detail.EFS Rebar.stage1.prices_usd.nitrogen_nm3</t>
        </is>
      </c>
      <c r="B106" s="4" t="inlineStr">
        <is>
          <t>EFS Rebar</t>
        </is>
      </c>
      <c r="C106" s="4" t="inlineStr">
        <is>
          <t>stage1 · prices usd · nitrogen nm3</t>
        </is>
      </c>
      <c r="D106" s="4" t="inlineStr"/>
      <c r="E106" s="4" t="n">
        <v>0.1716647463083416</v>
      </c>
      <c r="F106" s="4" t="n"/>
      <c r="G106" s="5">
        <f>IF(OR(F106="",E106=0),"",F106/E106-1)</f>
        <v/>
      </c>
      <c r="H106" s="4" t="n"/>
      <c r="I106" s="4" t="n"/>
    </row>
    <row r="107">
      <c r="A107" s="4" t="inlineStr">
        <is>
          <t>detail.EFS Rebar.stage1.prices_usd.argon_nm3</t>
        </is>
      </c>
      <c r="B107" s="4" t="inlineStr">
        <is>
          <t>EFS Rebar</t>
        </is>
      </c>
      <c r="C107" s="4" t="inlineStr">
        <is>
          <t>stage1 · prices usd · argon nm3</t>
        </is>
      </c>
      <c r="D107" s="4" t="inlineStr"/>
      <c r="E107" s="4" t="n">
        <v>1.928367316863704</v>
      </c>
      <c r="F107" s="4" t="n"/>
      <c r="G107" s="5">
        <f>IF(OR(F107="",E107=0),"",F107/E107-1)</f>
        <v/>
      </c>
      <c r="H107" s="4" t="n"/>
      <c r="I107" s="4" t="n"/>
    </row>
    <row r="108">
      <c r="A108" s="4" t="inlineStr">
        <is>
          <t>detail.EFS Rebar.stage1.prices_usd.handling_t</t>
        </is>
      </c>
      <c r="B108" s="4" t="inlineStr">
        <is>
          <t>EFS Rebar</t>
        </is>
      </c>
      <c r="C108" s="4" t="inlineStr">
        <is>
          <t>stage1 · prices usd · handling t</t>
        </is>
      </c>
      <c r="D108" s="4" t="inlineStr"/>
      <c r="E108" s="4" t="n">
        <v>0</v>
      </c>
      <c r="F108" s="4" t="n"/>
      <c r="G108" s="5">
        <f>IF(OR(F108="",E108=0),"",F108/E108-1)</f>
        <v/>
      </c>
      <c r="H108" s="4" t="n"/>
      <c r="I108" s="4" t="n"/>
    </row>
    <row r="109">
      <c r="A109" s="4" t="inlineStr">
        <is>
          <t>detail.EFS Rebar.stage1.prices_usd.cutting_t</t>
        </is>
      </c>
      <c r="B109" s="4" t="inlineStr">
        <is>
          <t>EFS Rebar</t>
        </is>
      </c>
      <c r="C109" s="4" t="inlineStr">
        <is>
          <t>stage1 · prices usd · cutting t</t>
        </is>
      </c>
      <c r="D109" s="4" t="inlineStr"/>
      <c r="E109" s="4" t="n">
        <v>0</v>
      </c>
      <c r="F109" s="4" t="n"/>
      <c r="G109" s="5">
        <f>IF(OR(F109="",E109=0),"",F109/E109-1)</f>
        <v/>
      </c>
      <c r="H109" s="4" t="n"/>
      <c r="I109" s="4" t="n"/>
    </row>
    <row r="110">
      <c r="A110" s="4" t="inlineStr">
        <is>
          <t>detail.EFS Rebar.stage2.byproduct_pct_of_molten_steel</t>
        </is>
      </c>
      <c r="B110" s="4" t="inlineStr">
        <is>
          <t>EFS Rebar</t>
        </is>
      </c>
      <c r="C110" s="4" t="inlineStr">
        <is>
          <t>stage2 · byproduct pct of molten steel</t>
        </is>
      </c>
      <c r="D110" s="4" t="inlineStr"/>
      <c r="E110" s="4" t="n">
        <v>-0.002631984726906559</v>
      </c>
      <c r="F110" s="4" t="n"/>
      <c r="G110" s="5">
        <f>IF(OR(F110="",E110=0),"",F110/E110-1)</f>
        <v/>
      </c>
      <c r="H110" s="4" t="n"/>
      <c r="I110" s="4" t="n"/>
    </row>
    <row r="111">
      <c r="A111" s="4" t="inlineStr">
        <is>
          <t>detail.EFS Rebar.stage2.consumption.aux_materials_kg</t>
        </is>
      </c>
      <c r="B111" s="4" t="inlineStr">
        <is>
          <t>EFS Rebar</t>
        </is>
      </c>
      <c r="C111" s="4" t="inlineStr">
        <is>
          <t>stage2 · consumption · aux materials kg</t>
        </is>
      </c>
      <c r="D111" s="4" t="inlineStr"/>
      <c r="E111" s="4" t="n">
        <v>0.003021438574240115</v>
      </c>
      <c r="F111" s="4" t="n"/>
      <c r="G111" s="5">
        <f>IF(OR(F111="",E111=0),"",F111/E111-1)</f>
        <v/>
      </c>
      <c r="H111" s="4" t="n"/>
      <c r="I111" s="4" t="n"/>
    </row>
    <row r="112">
      <c r="A112" s="4" t="inlineStr">
        <is>
          <t>detail.EFS Rebar.stage2.consumption.refractories_kg</t>
        </is>
      </c>
      <c r="B112" s="4" t="inlineStr">
        <is>
          <t>EFS Rebar</t>
        </is>
      </c>
      <c r="C112" s="4" t="inlineStr">
        <is>
          <t>stage2 · consumption · refractories kg</t>
        </is>
      </c>
      <c r="D112" s="4" t="inlineStr"/>
      <c r="E112" s="4" t="n">
        <v>1.837549592597855</v>
      </c>
      <c r="F112" s="4" t="n"/>
      <c r="G112" s="5">
        <f>IF(OR(F112="",E112=0),"",F112/E112-1)</f>
        <v/>
      </c>
      <c r="H112" s="4" t="n"/>
      <c r="I112" s="4" t="n"/>
    </row>
    <row r="113">
      <c r="A113" s="4" t="inlineStr">
        <is>
          <t>detail.EFS Rebar.stage2.consumption.electricity_kwh</t>
        </is>
      </c>
      <c r="B113" s="4" t="inlineStr">
        <is>
          <t>EFS Rebar</t>
        </is>
      </c>
      <c r="C113" s="4" t="inlineStr">
        <is>
          <t>stage2 · consumption · electricity kwh</t>
        </is>
      </c>
      <c r="D113" s="4" t="inlineStr"/>
      <c r="E113" s="4" t="n">
        <v>5.383879813734355</v>
      </c>
      <c r="F113" s="4" t="n"/>
      <c r="G113" s="5">
        <f>IF(OR(F113="",E113=0),"",F113/E113-1)</f>
        <v/>
      </c>
      <c r="H113" s="4" t="n"/>
      <c r="I113" s="4" t="n"/>
    </row>
    <row r="114">
      <c r="A114" s="4" t="inlineStr">
        <is>
          <t>detail.EFS Rebar.stage2.consumption.natural_gas_nm3</t>
        </is>
      </c>
      <c r="B114" s="4" t="inlineStr">
        <is>
          <t>EFS Rebar</t>
        </is>
      </c>
      <c r="C114" s="4" t="inlineStr">
        <is>
          <t>stage2 · consumption · natural gas nm3</t>
        </is>
      </c>
      <c r="D114" s="4" t="inlineStr"/>
      <c r="E114" s="4" t="n">
        <v>6.704507451126505</v>
      </c>
      <c r="F114" s="4" t="n"/>
      <c r="G114" s="5">
        <f>IF(OR(F114="",E114=0),"",F114/E114-1)</f>
        <v/>
      </c>
      <c r="H114" s="4" t="n"/>
      <c r="I114" s="4" t="n"/>
    </row>
    <row r="115">
      <c r="A115" s="4" t="inlineStr">
        <is>
          <t>detail.EFS Rebar.stage2.consumption.water_m3</t>
        </is>
      </c>
      <c r="B115" s="4" t="inlineStr">
        <is>
          <t>EFS Rebar</t>
        </is>
      </c>
      <c r="C115" s="4" t="inlineStr">
        <is>
          <t>stage2 · consumption · water m3</t>
        </is>
      </c>
      <c r="D115" s="4" t="inlineStr"/>
      <c r="E115" s="4" t="n">
        <v>0.4983862928209065</v>
      </c>
      <c r="F115" s="4" t="n"/>
      <c r="G115" s="5">
        <f>IF(OR(F115="",E115=0),"",F115/E115-1)</f>
        <v/>
      </c>
      <c r="H115" s="4" t="n"/>
      <c r="I115" s="4" t="n"/>
    </row>
    <row r="116">
      <c r="A116" s="4" t="inlineStr">
        <is>
          <t>detail.EFS Rebar.stage2.consumption.oxygen_nm3</t>
        </is>
      </c>
      <c r="B116" s="4" t="inlineStr">
        <is>
          <t>EFS Rebar</t>
        </is>
      </c>
      <c r="C116" s="4" t="inlineStr">
        <is>
          <t>stage2 · consumption · oxygen nm3</t>
        </is>
      </c>
      <c r="D116" s="4" t="inlineStr"/>
      <c r="E116" s="4" t="n">
        <v>3.481301525239457</v>
      </c>
      <c r="F116" s="4" t="n"/>
      <c r="G116" s="5">
        <f>IF(OR(F116="",E116=0),"",F116/E116-1)</f>
        <v/>
      </c>
      <c r="H116" s="4" t="n"/>
      <c r="I116" s="4" t="n"/>
    </row>
    <row r="117">
      <c r="A117" s="4" t="inlineStr">
        <is>
          <t>detail.EFS Rebar.stage2.consumption.nitrogen_nm3</t>
        </is>
      </c>
      <c r="B117" s="4" t="inlineStr">
        <is>
          <t>EFS Rebar</t>
        </is>
      </c>
      <c r="C117" s="4" t="inlineStr">
        <is>
          <t>stage2 · consumption · nitrogen nm3</t>
        </is>
      </c>
      <c r="D117" s="4" t="inlineStr"/>
      <c r="E117" s="4" t="n">
        <v>0</v>
      </c>
      <c r="F117" s="4" t="n"/>
      <c r="G117" s="5">
        <f>IF(OR(F117="",E117=0),"",F117/E117-1)</f>
        <v/>
      </c>
      <c r="H117" s="4" t="n"/>
      <c r="I117" s="4" t="n"/>
    </row>
    <row r="118">
      <c r="A118" s="4" t="inlineStr">
        <is>
          <t>detail.EFS Rebar.stage2.consumption.argon_nm3</t>
        </is>
      </c>
      <c r="B118" s="4" t="inlineStr">
        <is>
          <t>EFS Rebar</t>
        </is>
      </c>
      <c r="C118" s="4" t="inlineStr">
        <is>
          <t>stage2 · consumption · argon nm3</t>
        </is>
      </c>
      <c r="D118" s="4" t="inlineStr"/>
      <c r="E118" s="4" t="n">
        <v>0.0007121962353565979</v>
      </c>
      <c r="F118" s="4" t="n"/>
      <c r="G118" s="5">
        <f>IF(OR(F118="",E118=0),"",F118/E118-1)</f>
        <v/>
      </c>
      <c r="H118" s="4" t="n"/>
      <c r="I118" s="4" t="n"/>
    </row>
    <row r="119">
      <c r="A119" s="4" t="inlineStr">
        <is>
          <t>detail.EFS Rebar.stage2.prices_usd.byproduct_t</t>
        </is>
      </c>
      <c r="B119" s="4" t="inlineStr">
        <is>
          <t>EFS Rebar</t>
        </is>
      </c>
      <c r="C119" s="4" t="inlineStr">
        <is>
          <t>stage2 · prices usd · byproduct t</t>
        </is>
      </c>
      <c r="D119" s="4" t="inlineStr"/>
      <c r="E119" s="4" t="n">
        <v>350.2890647211095</v>
      </c>
      <c r="F119" s="4" t="n"/>
      <c r="G119" s="5">
        <f>IF(OR(F119="",E119=0),"",F119/E119-1)</f>
        <v/>
      </c>
      <c r="H119" s="4" t="n"/>
      <c r="I119" s="4" t="n"/>
    </row>
    <row r="120">
      <c r="A120" s="4" t="inlineStr">
        <is>
          <t>detail.EFS Rebar.stage2.prices_usd.aux_materials_kg</t>
        </is>
      </c>
      <c r="B120" s="4" t="inlineStr">
        <is>
          <t>EFS Rebar</t>
        </is>
      </c>
      <c r="C120" s="4" t="inlineStr">
        <is>
          <t>stage2 · prices usd · aux materials kg</t>
        </is>
      </c>
      <c r="D120" s="4" t="inlineStr"/>
      <c r="E120" s="4" t="n">
        <v>559.92857142857</v>
      </c>
      <c r="F120" s="4" t="n"/>
      <c r="G120" s="5">
        <f>IF(OR(F120="",E120=0),"",F120/E120-1)</f>
        <v/>
      </c>
      <c r="H120" s="4" t="n"/>
      <c r="I120" s="4" t="n"/>
    </row>
    <row r="121">
      <c r="A121" s="4" t="inlineStr">
        <is>
          <t>detail.EFS Rebar.stage2.prices_usd.refractories_kg</t>
        </is>
      </c>
      <c r="B121" s="4" t="inlineStr">
        <is>
          <t>EFS Rebar</t>
        </is>
      </c>
      <c r="C121" s="4" t="inlineStr">
        <is>
          <t>stage2 · prices usd · refractories kg</t>
        </is>
      </c>
      <c r="D121" s="4" t="inlineStr"/>
      <c r="E121" s="4" t="n">
        <v>795.9715113165091</v>
      </c>
      <c r="F121" s="4" t="n"/>
      <c r="G121" s="5">
        <f>IF(OR(F121="",E121=0),"",F121/E121-1)</f>
        <v/>
      </c>
      <c r="H121" s="4" t="n"/>
      <c r="I121" s="4" t="n"/>
    </row>
    <row r="122">
      <c r="A122" s="4" t="inlineStr">
        <is>
          <t>detail.EFS Rebar.stage2.prices_usd.natural_gas_nm3</t>
        </is>
      </c>
      <c r="B122" s="4" t="inlineStr">
        <is>
          <t>EFS Rebar</t>
        </is>
      </c>
      <c r="C122" s="4" t="inlineStr">
        <is>
          <t>stage2 · prices usd · natural gas nm3</t>
        </is>
      </c>
      <c r="D122" s="4" t="inlineStr"/>
      <c r="E122" s="4" t="n">
        <v>0.250724642126514</v>
      </c>
      <c r="F122" s="4" t="n"/>
      <c r="G122" s="5">
        <f>IF(OR(F122="",E122=0),"",F122/E122-1)</f>
        <v/>
      </c>
      <c r="H122" s="4" t="n"/>
      <c r="I122" s="4" t="n"/>
    </row>
    <row r="123">
      <c r="A123" s="4" t="inlineStr">
        <is>
          <t>detail.EFS Rebar.stage2.prices_usd.water_m3</t>
        </is>
      </c>
      <c r="B123" s="4" t="inlineStr">
        <is>
          <t>EFS Rebar</t>
        </is>
      </c>
      <c r="C123" s="4" t="inlineStr">
        <is>
          <t>stage2 · prices usd · water m3</t>
        </is>
      </c>
      <c r="D123" s="4" t="inlineStr"/>
      <c r="E123" s="4" t="n">
        <v>0.2716395510654938</v>
      </c>
      <c r="F123" s="4" t="n"/>
      <c r="G123" s="5">
        <f>IF(OR(F123="",E123=0),"",F123/E123-1)</f>
        <v/>
      </c>
      <c r="H123" s="4" t="n"/>
      <c r="I123" s="4" t="n"/>
    </row>
    <row r="124">
      <c r="A124" s="4" t="inlineStr">
        <is>
          <t>detail.EFS Rebar.stage2.prices_usd.oxygen_nm3</t>
        </is>
      </c>
      <c r="B124" s="4" t="inlineStr">
        <is>
          <t>EFS Rebar</t>
        </is>
      </c>
      <c r="C124" s="4" t="inlineStr">
        <is>
          <t>stage2 · prices usd · oxygen nm3</t>
        </is>
      </c>
      <c r="D124" s="4" t="inlineStr"/>
      <c r="E124" s="4" t="n">
        <v>0.1716647463083416</v>
      </c>
      <c r="F124" s="4" t="n"/>
      <c r="G124" s="5">
        <f>IF(OR(F124="",E124=0),"",F124/E124-1)</f>
        <v/>
      </c>
      <c r="H124" s="4" t="n"/>
      <c r="I124" s="4" t="n"/>
    </row>
    <row r="125">
      <c r="A125" s="4" t="inlineStr">
        <is>
          <t>detail.EFS Rebar.stage2.prices_usd.nitrogen_nm3</t>
        </is>
      </c>
      <c r="B125" s="4" t="inlineStr">
        <is>
          <t>EFS Rebar</t>
        </is>
      </c>
      <c r="C125" s="4" t="inlineStr">
        <is>
          <t>stage2 · prices usd · nitrogen nm3</t>
        </is>
      </c>
      <c r="D125" s="4" t="inlineStr"/>
      <c r="E125" s="4" t="n">
        <v>0</v>
      </c>
      <c r="F125" s="4" t="n"/>
      <c r="G125" s="5">
        <f>IF(OR(F125="",E125=0),"",F125/E125-1)</f>
        <v/>
      </c>
      <c r="H125" s="4" t="n"/>
      <c r="I125" s="4" t="n"/>
    </row>
    <row r="126">
      <c r="A126" s="4" t="inlineStr">
        <is>
          <t>detail.EFS Rebar.stage2.prices_usd.argon_nm3</t>
        </is>
      </c>
      <c r="B126" s="4" t="inlineStr">
        <is>
          <t>EFS Rebar</t>
        </is>
      </c>
      <c r="C126" s="4" t="inlineStr">
        <is>
          <t>stage2 · prices usd · argon nm3</t>
        </is>
      </c>
      <c r="D126" s="4" t="inlineStr"/>
      <c r="E126" s="4" t="n">
        <v>1.928367316863704</v>
      </c>
      <c r="F126" s="4" t="n"/>
      <c r="G126" s="5">
        <f>IF(OR(F126="",E126=0),"",F126/E126-1)</f>
        <v/>
      </c>
      <c r="H126" s="4" t="n"/>
      <c r="I126" s="4" t="n"/>
    </row>
    <row r="127">
      <c r="A127" s="4" t="inlineStr">
        <is>
          <t>detail.ESR Rebar.stage1.blend_pct.home_scrap</t>
        </is>
      </c>
      <c r="B127" s="4" t="inlineStr">
        <is>
          <t>ESR Rebar</t>
        </is>
      </c>
      <c r="C127" s="4" t="inlineStr">
        <is>
          <t>stage1 · blend pct · home scrap</t>
        </is>
      </c>
      <c r="D127" s="4" t="inlineStr">
        <is>
          <t>%</t>
        </is>
      </c>
      <c r="E127" s="4" t="n">
        <v>0</v>
      </c>
      <c r="F127" s="4" t="n"/>
      <c r="G127" s="5">
        <f>IF(OR(F127="",E127=0),"",F127/E127-1)</f>
        <v/>
      </c>
      <c r="H127" s="4" t="n"/>
      <c r="I127" s="4" t="n"/>
    </row>
    <row r="128">
      <c r="A128" s="4" t="inlineStr">
        <is>
          <t>detail.ESR Rebar.stage1.blend_pct.pig_iron</t>
        </is>
      </c>
      <c r="B128" s="4" t="inlineStr">
        <is>
          <t>ESR Rebar</t>
        </is>
      </c>
      <c r="C128" s="4" t="inlineStr">
        <is>
          <t>stage1 · blend pct · pig iron</t>
        </is>
      </c>
      <c r="D128" s="4" t="inlineStr">
        <is>
          <t>%</t>
        </is>
      </c>
      <c r="E128" s="4" t="n">
        <v>0</v>
      </c>
      <c r="F128" s="4" t="n"/>
      <c r="G128" s="5">
        <f>IF(OR(F128="",E128=0),"",F128/E128-1)</f>
        <v/>
      </c>
      <c r="H128" s="4" t="n"/>
      <c r="I128" s="4" t="n"/>
    </row>
    <row r="129">
      <c r="A129" s="4" t="inlineStr">
        <is>
          <t>detail.ESR Rebar.stage1.byproduct_pct_of_solid_charge</t>
        </is>
      </c>
      <c r="B129" s="4" t="inlineStr">
        <is>
          <t>ESR Rebar</t>
        </is>
      </c>
      <c r="C129" s="4" t="inlineStr">
        <is>
          <t>stage1 · byproduct pct of solid charge</t>
        </is>
      </c>
      <c r="D129" s="4" t="inlineStr"/>
      <c r="E129" s="4" t="n">
        <v>-0.008011217677999073</v>
      </c>
      <c r="F129" s="4" t="n"/>
      <c r="G129" s="5">
        <f>IF(OR(F129="",E129=0),"",F129/E129-1)</f>
        <v/>
      </c>
      <c r="H129" s="4" t="n"/>
      <c r="I129" s="4" t="n"/>
    </row>
    <row r="130">
      <c r="A130" s="4" t="inlineStr">
        <is>
          <t>detail.ESR Rebar.stage1.electricity_extra_kwh</t>
        </is>
      </c>
      <c r="B130" s="4" t="inlineStr">
        <is>
          <t>ESR Rebar</t>
        </is>
      </c>
      <c r="C130" s="4" t="inlineStr">
        <is>
          <t>stage1 · electricity extra kwh</t>
        </is>
      </c>
      <c r="D130" s="4" t="inlineStr"/>
      <c r="E130" s="4" t="n">
        <v>15.7308917064777</v>
      </c>
      <c r="F130" s="4" t="n"/>
      <c r="G130" s="5">
        <f>IF(OR(F130="",E130=0),"",F130/E130-1)</f>
        <v/>
      </c>
      <c r="H130" s="4" t="n"/>
      <c r="I130" s="4" t="n"/>
    </row>
    <row r="131">
      <c r="A131" s="4" t="inlineStr">
        <is>
          <t>detail.ESR Rebar.stage1.consumption.aux_materials_kg</t>
        </is>
      </c>
      <c r="B131" s="4" t="inlineStr">
        <is>
          <t>ESR Rebar</t>
        </is>
      </c>
      <c r="C131" s="4" t="inlineStr">
        <is>
          <t>stage1 · consumption · aux materials kg</t>
        </is>
      </c>
      <c r="D131" s="4" t="inlineStr"/>
      <c r="E131" s="4" t="n">
        <v>109.025912856941</v>
      </c>
      <c r="F131" s="4" t="n"/>
      <c r="G131" s="5">
        <f>IF(OR(F131="",E131=0),"",F131/E131-1)</f>
        <v/>
      </c>
      <c r="H131" s="4" t="n"/>
      <c r="I131" s="4" t="n"/>
    </row>
    <row r="132">
      <c r="A132" s="4" t="inlineStr">
        <is>
          <t>detail.ESR Rebar.stage1.consumption.refractories_kg</t>
        </is>
      </c>
      <c r="B132" s="4" t="inlineStr">
        <is>
          <t>ESR Rebar</t>
        </is>
      </c>
      <c r="C132" s="4" t="inlineStr">
        <is>
          <t>stage1 · consumption · refractories kg</t>
        </is>
      </c>
      <c r="D132" s="4" t="inlineStr"/>
      <c r="E132" s="4" t="n">
        <v>7.67154239185428</v>
      </c>
      <c r="F132" s="4" t="n"/>
      <c r="G132" s="5">
        <f>IF(OR(F132="",E132=0),"",F132/E132-1)</f>
        <v/>
      </c>
      <c r="H132" s="4" t="n"/>
      <c r="I132" s="4" t="n"/>
    </row>
    <row r="133">
      <c r="A133" s="4" t="inlineStr">
        <is>
          <t>detail.ESR Rebar.stage1.consumption.electrodes_kg</t>
        </is>
      </c>
      <c r="B133" s="4" t="inlineStr">
        <is>
          <t>ESR Rebar</t>
        </is>
      </c>
      <c r="C133" s="4" t="inlineStr">
        <is>
          <t>stage1 · consumption · electrodes kg</t>
        </is>
      </c>
      <c r="D133" s="4" t="inlineStr"/>
      <c r="E133" s="4" t="n">
        <v>1.828566850446828</v>
      </c>
      <c r="F133" s="4" t="n"/>
      <c r="G133" s="5">
        <f>IF(OR(F133="",E133=0),"",F133/E133-1)</f>
        <v/>
      </c>
      <c r="H133" s="4" t="n"/>
      <c r="I133" s="4" t="n"/>
    </row>
    <row r="134">
      <c r="A134" s="4" t="inlineStr">
        <is>
          <t>detail.ESR Rebar.stage1.consumption.consumables_kg</t>
        </is>
      </c>
      <c r="B134" s="4" t="inlineStr">
        <is>
          <t>ESR Rebar</t>
        </is>
      </c>
      <c r="C134" s="4" t="inlineStr">
        <is>
          <t>stage1 · consumption · consumables kg</t>
        </is>
      </c>
      <c r="D134" s="4" t="inlineStr"/>
      <c r="E134" s="4" t="n">
        <v>1</v>
      </c>
      <c r="F134" s="4" t="n"/>
      <c r="G134" s="5">
        <f>IF(OR(F134="",E134=0),"",F134/E134-1)</f>
        <v/>
      </c>
      <c r="H134" s="4" t="n"/>
      <c r="I134" s="4" t="n"/>
    </row>
    <row r="135">
      <c r="A135" s="4" t="inlineStr">
        <is>
          <t>detail.ESR Rebar.stage1.consumption.natural_gas_nm3</t>
        </is>
      </c>
      <c r="B135" s="4" t="inlineStr">
        <is>
          <t>ESR Rebar</t>
        </is>
      </c>
      <c r="C135" s="4" t="inlineStr">
        <is>
          <t>stage1 · consumption · natural gas nm3</t>
        </is>
      </c>
      <c r="D135" s="4" t="inlineStr"/>
      <c r="E135" s="4" t="n">
        <v>14.20849492197311</v>
      </c>
      <c r="F135" s="4" t="n"/>
      <c r="G135" s="5">
        <f>IF(OR(F135="",E135=0),"",F135/E135-1)</f>
        <v/>
      </c>
      <c r="H135" s="4" t="n"/>
      <c r="I135" s="4" t="n"/>
    </row>
    <row r="136">
      <c r="A136" s="4" t="inlineStr">
        <is>
          <t>detail.ESR Rebar.stage1.consumption.water_m3</t>
        </is>
      </c>
      <c r="B136" s="4" t="inlineStr">
        <is>
          <t>ESR Rebar</t>
        </is>
      </c>
      <c r="C136" s="4" t="inlineStr">
        <is>
          <t>stage1 · consumption · water m3</t>
        </is>
      </c>
      <c r="D136" s="4" t="inlineStr"/>
      <c r="E136" s="4" t="n">
        <v>0.9946884485747385</v>
      </c>
      <c r="F136" s="4" t="n"/>
      <c r="G136" s="5">
        <f>IF(OR(F136="",E136=0),"",F136/E136-1)</f>
        <v/>
      </c>
      <c r="H136" s="4" t="n"/>
      <c r="I136" s="4" t="n"/>
    </row>
    <row r="137">
      <c r="A137" s="4" t="inlineStr">
        <is>
          <t>detail.ESR Rebar.stage1.consumption.oxygen_nm3</t>
        </is>
      </c>
      <c r="B137" s="4" t="inlineStr">
        <is>
          <t>ESR Rebar</t>
        </is>
      </c>
      <c r="C137" s="4" t="inlineStr">
        <is>
          <t>stage1 · consumption · oxygen nm3</t>
        </is>
      </c>
      <c r="D137" s="4" t="inlineStr"/>
      <c r="E137" s="4" t="n">
        <v>22.87581420213975</v>
      </c>
      <c r="F137" s="4" t="n"/>
      <c r="G137" s="5">
        <f>IF(OR(F137="",E137=0),"",F137/E137-1)</f>
        <v/>
      </c>
      <c r="H137" s="4" t="n"/>
      <c r="I137" s="4" t="n"/>
    </row>
    <row r="138">
      <c r="A138" s="4" t="inlineStr">
        <is>
          <t>detail.ESR Rebar.stage1.consumption.nitrogen_nm3</t>
        </is>
      </c>
      <c r="B138" s="4" t="inlineStr">
        <is>
          <t>ESR Rebar</t>
        </is>
      </c>
      <c r="C138" s="4" t="inlineStr">
        <is>
          <t>stage1 · consumption · nitrogen nm3</t>
        </is>
      </c>
      <c r="D138" s="4" t="inlineStr"/>
      <c r="E138" s="4" t="n">
        <v>1.083579733359264</v>
      </c>
      <c r="F138" s="4" t="n"/>
      <c r="G138" s="5">
        <f>IF(OR(F138="",E138=0),"",F138/E138-1)</f>
        <v/>
      </c>
      <c r="H138" s="4" t="n"/>
      <c r="I138" s="4" t="n"/>
    </row>
    <row r="139">
      <c r="A139" s="4" t="inlineStr">
        <is>
          <t>detail.ESR Rebar.stage1.consumption.chemicals_units</t>
        </is>
      </c>
      <c r="B139" s="4" t="inlineStr">
        <is>
          <t>ESR Rebar</t>
        </is>
      </c>
      <c r="C139" s="4" t="inlineStr">
        <is>
          <t>stage1 · consumption · chemicals units</t>
        </is>
      </c>
      <c r="D139" s="4" t="inlineStr"/>
      <c r="E139" s="4" t="n">
        <v>1</v>
      </c>
      <c r="F139" s="4" t="n"/>
      <c r="G139" s="5">
        <f>IF(OR(F139="",E139=0),"",F139/E139-1)</f>
        <v/>
      </c>
      <c r="H139" s="4" t="n"/>
      <c r="I139" s="4" t="n"/>
    </row>
    <row r="140">
      <c r="A140" s="4" t="inlineStr">
        <is>
          <t>detail.ESR Rebar.stage1.consumption.handling_units</t>
        </is>
      </c>
      <c r="B140" s="4" t="inlineStr">
        <is>
          <t>ESR Rebar</t>
        </is>
      </c>
      <c r="C140" s="4" t="inlineStr">
        <is>
          <t>stage1 · consumption · handling units</t>
        </is>
      </c>
      <c r="D140" s="4" t="inlineStr"/>
      <c r="E140" s="4" t="n">
        <v>1</v>
      </c>
      <c r="F140" s="4" t="n"/>
      <c r="G140" s="5">
        <f>IF(OR(F140="",E140=0),"",F140/E140-1)</f>
        <v/>
      </c>
      <c r="H140" s="4" t="n"/>
      <c r="I140" s="4" t="n"/>
    </row>
    <row r="141">
      <c r="A141" s="4" t="inlineStr">
        <is>
          <t>detail.ESR Rebar.stage1.consumption.cutting_units</t>
        </is>
      </c>
      <c r="B141" s="4" t="inlineStr">
        <is>
          <t>ESR Rebar</t>
        </is>
      </c>
      <c r="C141" s="4" t="inlineStr">
        <is>
          <t>stage1 · consumption · cutting units</t>
        </is>
      </c>
      <c r="D141" s="4" t="inlineStr"/>
      <c r="E141" s="4" t="n">
        <v>1</v>
      </c>
      <c r="F141" s="4" t="n"/>
      <c r="G141" s="5">
        <f>IF(OR(F141="",E141=0),"",F141/E141-1)</f>
        <v/>
      </c>
      <c r="H141" s="4" t="n"/>
      <c r="I141" s="4" t="n"/>
    </row>
    <row r="142">
      <c r="A142" s="4" t="inlineStr">
        <is>
          <t>detail.ESR Rebar.stage1.prices_usd.home_scrap_t</t>
        </is>
      </c>
      <c r="B142" s="4" t="inlineStr">
        <is>
          <t>ESR Rebar</t>
        </is>
      </c>
      <c r="C142" s="4" t="inlineStr">
        <is>
          <t>stage1 · prices usd · home scrap t</t>
        </is>
      </c>
      <c r="D142" s="4" t="inlineStr"/>
      <c r="E142" s="4" t="n">
        <v>0</v>
      </c>
      <c r="F142" s="4" t="n"/>
      <c r="G142" s="5">
        <f>IF(OR(F142="",E142=0),"",F142/E142-1)</f>
        <v/>
      </c>
      <c r="H142" s="4" t="n"/>
      <c r="I142" s="4" t="n"/>
    </row>
    <row r="143">
      <c r="A143" s="4" t="inlineStr">
        <is>
          <t>detail.ESR Rebar.stage1.prices_usd.pig_iron_t</t>
        </is>
      </c>
      <c r="B143" s="4" t="inlineStr">
        <is>
          <t>ESR Rebar</t>
        </is>
      </c>
      <c r="C143" s="4" t="inlineStr">
        <is>
          <t>stage1 · prices usd · pig iron t</t>
        </is>
      </c>
      <c r="D143" s="4" t="inlineStr"/>
      <c r="E143" s="4" t="n">
        <v>0</v>
      </c>
      <c r="F143" s="4" t="n"/>
      <c r="G143" s="5">
        <f>IF(OR(F143="",E143=0),"",F143/E143-1)</f>
        <v/>
      </c>
      <c r="H143" s="4" t="n"/>
      <c r="I143" s="4" t="n"/>
    </row>
    <row r="144">
      <c r="A144" s="4" t="inlineStr">
        <is>
          <t>detail.ESR Rebar.stage1.prices_usd.byproduct_t</t>
        </is>
      </c>
      <c r="B144" s="4" t="inlineStr">
        <is>
          <t>ESR Rebar</t>
        </is>
      </c>
      <c r="C144" s="4" t="inlineStr">
        <is>
          <t>stage1 · prices usd · byproduct t</t>
        </is>
      </c>
      <c r="D144" s="4" t="inlineStr">
        <is>
          <t>in LE (converted at FX)</t>
        </is>
      </c>
      <c r="E144" s="4" t="n">
        <v>6176.5</v>
      </c>
      <c r="F144" s="4" t="n"/>
      <c r="G144" s="5">
        <f>IF(OR(F144="",E144=0),"",F144/E144-1)</f>
        <v/>
      </c>
      <c r="H144" s="4" t="n"/>
      <c r="I144" s="4" t="n"/>
    </row>
    <row r="145">
      <c r="A145" s="4" t="inlineStr">
        <is>
          <t>detail.ESR Rebar.stage1.prices_usd.aux_materials_kg</t>
        </is>
      </c>
      <c r="B145" s="4" t="inlineStr">
        <is>
          <t>ESR Rebar</t>
        </is>
      </c>
      <c r="C145" s="4" t="inlineStr">
        <is>
          <t>stage1 · prices usd · aux materials kg</t>
        </is>
      </c>
      <c r="D145" s="4" t="inlineStr">
        <is>
          <t>in LE (converted at FX)</t>
        </is>
      </c>
      <c r="E145" s="4" t="n">
        <v>5924.76704651993</v>
      </c>
      <c r="F145" s="4" t="n"/>
      <c r="G145" s="5">
        <f>IF(OR(F145="",E145=0),"",F145/E145-1)</f>
        <v/>
      </c>
      <c r="H145" s="4" t="n"/>
      <c r="I145" s="4" t="n"/>
    </row>
    <row r="146">
      <c r="A146" s="4" t="inlineStr">
        <is>
          <t>detail.ESR Rebar.stage1.prices_usd.refractories_kg</t>
        </is>
      </c>
      <c r="B146" s="4" t="inlineStr">
        <is>
          <t>ESR Rebar</t>
        </is>
      </c>
      <c r="C146" s="4" t="inlineStr">
        <is>
          <t>stage1 · prices usd · refractories kg</t>
        </is>
      </c>
      <c r="D146" s="4" t="inlineStr">
        <is>
          <t>in LE (converted at FX)</t>
        </is>
      </c>
      <c r="E146" s="4" t="n">
        <v>16540.4227713778</v>
      </c>
      <c r="F146" s="4" t="n"/>
      <c r="G146" s="5">
        <f>IF(OR(F146="",E146=0),"",F146/E146-1)</f>
        <v/>
      </c>
      <c r="H146" s="4" t="n"/>
      <c r="I146" s="4" t="n"/>
    </row>
    <row r="147">
      <c r="A147" s="4" t="inlineStr">
        <is>
          <t>detail.ESR Rebar.stage1.prices_usd.electrodes_kg</t>
        </is>
      </c>
      <c r="B147" s="4" t="inlineStr">
        <is>
          <t>ESR Rebar</t>
        </is>
      </c>
      <c r="C147" s="4" t="inlineStr">
        <is>
          <t>stage1 · prices usd · electrodes kg</t>
        </is>
      </c>
      <c r="D147" s="4" t="inlineStr">
        <is>
          <t>in LE (converted at FX)</t>
        </is>
      </c>
      <c r="E147" s="4" t="n">
        <v>221779.653102083</v>
      </c>
      <c r="F147" s="4" t="n"/>
      <c r="G147" s="5">
        <f>IF(OR(F147="",E147=0),"",F147/E147-1)</f>
        <v/>
      </c>
      <c r="H147" s="4" t="n"/>
      <c r="I147" s="4" t="n"/>
    </row>
    <row r="148">
      <c r="A148" s="4" t="inlineStr">
        <is>
          <t>detail.ESR Rebar.stage1.prices_usd.consumables_kg</t>
        </is>
      </c>
      <c r="B148" s="4" t="inlineStr">
        <is>
          <t>ESR Rebar</t>
        </is>
      </c>
      <c r="C148" s="4" t="inlineStr">
        <is>
          <t>stage1 · prices usd · consumables kg</t>
        </is>
      </c>
      <c r="D148" s="4" t="inlineStr">
        <is>
          <t>in LE (converted at FX)</t>
        </is>
      </c>
      <c r="E148" s="4" t="n">
        <v>63205.0332834264</v>
      </c>
      <c r="F148" s="4" t="n"/>
      <c r="G148" s="5">
        <f>IF(OR(F148="",E148=0),"",F148/E148-1)</f>
        <v/>
      </c>
      <c r="H148" s="4" t="n"/>
      <c r="I148" s="4" t="n"/>
    </row>
    <row r="149">
      <c r="A149" s="4" t="inlineStr">
        <is>
          <t>detail.ESR Rebar.stage1.prices_usd.natural_gas_nm3</t>
        </is>
      </c>
      <c r="B149" s="4" t="inlineStr">
        <is>
          <t>ESR Rebar</t>
        </is>
      </c>
      <c r="C149" s="4" t="inlineStr">
        <is>
          <t>stage1 · prices usd · natural gas nm3</t>
        </is>
      </c>
      <c r="D149" s="4" t="inlineStr">
        <is>
          <t>in LE (converted at FX)</t>
        </is>
      </c>
      <c r="E149" s="4" t="n">
        <v>4.28401851215912</v>
      </c>
      <c r="F149" s="4" t="n"/>
      <c r="G149" s="5">
        <f>IF(OR(F149="",E149=0),"",F149/E149-1)</f>
        <v/>
      </c>
      <c r="H149" s="4" t="n"/>
      <c r="I149" s="4" t="n"/>
    </row>
    <row r="150">
      <c r="A150" s="4" t="inlineStr">
        <is>
          <t>detail.ESR Rebar.stage1.prices_usd.water_m3</t>
        </is>
      </c>
      <c r="B150" s="4" t="inlineStr">
        <is>
          <t>ESR Rebar</t>
        </is>
      </c>
      <c r="C150" s="4" t="inlineStr">
        <is>
          <t>stage1 · prices usd · water m3</t>
        </is>
      </c>
      <c r="D150" s="4" t="inlineStr">
        <is>
          <t>in LE (converted at FX)</t>
        </is>
      </c>
      <c r="E150" s="4" t="n">
        <v>9.1962943800284</v>
      </c>
      <c r="F150" s="4" t="n"/>
      <c r="G150" s="5">
        <f>IF(OR(F150="",E150=0),"",F150/E150-1)</f>
        <v/>
      </c>
      <c r="H150" s="4" t="n"/>
      <c r="I150" s="4" t="n"/>
    </row>
    <row r="151">
      <c r="A151" s="4" t="inlineStr">
        <is>
          <t>detail.ESR Rebar.stage1.prices_usd.oxygen_nm3</t>
        </is>
      </c>
      <c r="B151" s="4" t="inlineStr">
        <is>
          <t>ESR Rebar</t>
        </is>
      </c>
      <c r="C151" s="4" t="inlineStr">
        <is>
          <t>stage1 · prices usd · oxygen nm3</t>
        </is>
      </c>
      <c r="D151" s="4" t="inlineStr">
        <is>
          <t>in LE (converted at FX)</t>
        </is>
      </c>
      <c r="E151" s="4" t="n">
        <v>3.18254566700526</v>
      </c>
      <c r="F151" s="4" t="n"/>
      <c r="G151" s="5">
        <f>IF(OR(F151="",E151=0),"",F151/E151-1)</f>
        <v/>
      </c>
      <c r="H151" s="4" t="n"/>
      <c r="I151" s="4" t="n"/>
    </row>
    <row r="152">
      <c r="A152" s="4" t="inlineStr">
        <is>
          <t>detail.ESR Rebar.stage1.prices_usd.nitrogen_nm3</t>
        </is>
      </c>
      <c r="B152" s="4" t="inlineStr">
        <is>
          <t>ESR Rebar</t>
        </is>
      </c>
      <c r="C152" s="4" t="inlineStr">
        <is>
          <t>stage1 · prices usd · nitrogen nm3</t>
        </is>
      </c>
      <c r="D152" s="4" t="inlineStr">
        <is>
          <t>in LE (converted at FX)</t>
        </is>
      </c>
      <c r="E152" s="4" t="n">
        <v>8.267361784050189</v>
      </c>
      <c r="F152" s="4" t="n"/>
      <c r="G152" s="5">
        <f>IF(OR(F152="",E152=0),"",F152/E152-1)</f>
        <v/>
      </c>
      <c r="H152" s="4" t="n"/>
      <c r="I152" s="4" t="n"/>
    </row>
    <row r="153">
      <c r="A153" s="4" t="inlineStr">
        <is>
          <t>detail.ESR Rebar.stage1.prices_usd.chemicals_unit</t>
        </is>
      </c>
      <c r="B153" s="4" t="inlineStr">
        <is>
          <t>ESR Rebar</t>
        </is>
      </c>
      <c r="C153" s="4" t="inlineStr">
        <is>
          <t>stage1 · prices usd · chemicals unit</t>
        </is>
      </c>
      <c r="D153" s="4" t="inlineStr">
        <is>
          <t>in LE (converted at FX)</t>
        </is>
      </c>
      <c r="E153" s="4" t="n">
        <v>3.15551479378521</v>
      </c>
      <c r="F153" s="4" t="n"/>
      <c r="G153" s="5">
        <f>IF(OR(F153="",E153=0),"",F153/E153-1)</f>
        <v/>
      </c>
      <c r="H153" s="4" t="n"/>
      <c r="I153" s="4" t="n"/>
    </row>
    <row r="154">
      <c r="A154" s="4" t="inlineStr">
        <is>
          <t>detail.ESR Rebar.stage1.prices_usd.handling_unit</t>
        </is>
      </c>
      <c r="B154" s="4" t="inlineStr">
        <is>
          <t>ESR Rebar</t>
        </is>
      </c>
      <c r="C154" s="4" t="inlineStr">
        <is>
          <t>stage1 · prices usd · handling unit</t>
        </is>
      </c>
      <c r="D154" s="4" t="inlineStr"/>
      <c r="E154" s="4" t="n">
        <v>2.324175784412904</v>
      </c>
      <c r="F154" s="4" t="n"/>
      <c r="G154" s="5">
        <f>IF(OR(F154="",E154=0),"",F154/E154-1)</f>
        <v/>
      </c>
      <c r="H154" s="4" t="n"/>
      <c r="I154" s="4" t="n"/>
    </row>
    <row r="155">
      <c r="A155" s="4" t="inlineStr">
        <is>
          <t>detail.ESR Rebar.stage1.prices_usd.cutting_unit</t>
        </is>
      </c>
      <c r="B155" s="4" t="inlineStr">
        <is>
          <t>ESR Rebar</t>
        </is>
      </c>
      <c r="C155" s="4" t="inlineStr">
        <is>
          <t>stage1 · prices usd · cutting unit</t>
        </is>
      </c>
      <c r="D155" s="4" t="inlineStr"/>
      <c r="E155" s="4" t="n">
        <v>31.41622677823853</v>
      </c>
      <c r="F155" s="4" t="n"/>
      <c r="G155" s="5">
        <f>IF(OR(F155="",E155=0),"",F155/E155-1)</f>
        <v/>
      </c>
      <c r="H155" s="4" t="n"/>
      <c r="I155" s="4" t="n"/>
    </row>
    <row r="156">
      <c r="A156" s="4" t="n"/>
      <c r="B156" s="4" t="n"/>
      <c r="C156" s="6" t="inlineStr">
        <is>
          <t>Blend total EZDK long (must be 100)</t>
        </is>
      </c>
      <c r="D156" s="4" t="n"/>
      <c r="E156" s="4" t="n"/>
      <c r="F156" s="4">
        <f>IF(F5="",E5,F5)+IF(F6="",E6,F6)+IF(F7="",E7,F7)</f>
        <v/>
      </c>
      <c r="G156" s="4">
        <f>IF(ABS(F156-100)&lt;0.01,"OK","CHECK")</f>
        <v/>
      </c>
      <c r="H156" s="4" t="n"/>
      <c r="I156" s="4" t="n"/>
    </row>
    <row r="157">
      <c r="A157" s="4" t="n"/>
      <c r="B157" s="4" t="n"/>
      <c r="C157" s="6" t="inlineStr">
        <is>
          <t>Blend total EFS long (must be 100)</t>
        </is>
      </c>
      <c r="D157" s="4" t="n"/>
      <c r="E157" s="4" t="n"/>
      <c r="F157" s="4">
        <f>IF(F15="",E15,F15)+IF(F16="",E16,F16)+IF(F17="",E17,F17)</f>
        <v/>
      </c>
      <c r="G157" s="4">
        <f>IF(ABS(F157-100)&lt;0.01,"OK","CHECK")</f>
        <v/>
      </c>
      <c r="H157" s="4" t="n"/>
      <c r="I157" s="4" t="n"/>
    </row>
    <row r="158">
      <c r="A158" s="4" t="n"/>
      <c r="B158" s="4" t="n"/>
      <c r="C158" s="6" t="inlineStr">
        <is>
          <t>Blend total ESR long (must be 100)</t>
        </is>
      </c>
      <c r="D158" s="4" t="n"/>
      <c r="E158" s="4" t="n"/>
      <c r="F158" s="4">
        <f>IF(F25="",E25,F25)+IF(F26="",E26,F26)+IF(F27="",E27,F27)</f>
        <v/>
      </c>
      <c r="G158" s="4">
        <f>IF(ABS(F158-100)&lt;0.01,"OK","CHECK")</f>
        <v/>
      </c>
      <c r="H158" s="4" t="n"/>
      <c r="I158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1" max="1"/>
    <col width="16" customWidth="1" min="2" max="2"/>
    <col width="58" customWidth="1" min="3" max="3"/>
    <col width="24" customWidth="1" min="4" max="4"/>
    <col width="20" customWidth="1" min="5" max="5"/>
    <col width="16" customWidth="1" min="6" max="6"/>
    <col width="10" customWidth="1" min="7" max="7"/>
  </cols>
  <sheetData>
    <row r="1">
      <c r="A1" s="3" t="inlineStr">
        <is>
          <t>Path</t>
        </is>
      </c>
      <c r="B1" s="3" t="inlineStr">
        <is>
          <t>Company / line</t>
        </is>
      </c>
      <c r="C1" s="3" t="inlineStr">
        <is>
          <t>Input</t>
        </is>
      </c>
      <c r="D1" s="3" t="inlineStr">
        <is>
          <t>Unit</t>
        </is>
      </c>
      <c r="E1" s="3" t="inlineStr">
        <is>
          <t>Last month (read-only)</t>
        </is>
      </c>
      <c r="F1" s="3" t="inlineStr">
        <is>
          <t>This month</t>
        </is>
      </c>
      <c r="G1" s="3" t="inlineStr">
        <is>
          <t>% change</t>
        </is>
      </c>
    </row>
    <row r="2">
      <c r="A2" s="4" t="inlineStr">
        <is>
          <t>flat.EZDK.local_scrap_usd_t</t>
        </is>
      </c>
      <c r="B2" s="4" t="inlineStr">
        <is>
          <t>EZDK</t>
        </is>
      </c>
      <c r="C2" s="4" t="inlineStr">
        <is>
          <t>local scrap usd t</t>
        </is>
      </c>
      <c r="D2" s="4" t="inlineStr">
        <is>
          <t>$/t</t>
        </is>
      </c>
      <c r="E2" s="4" t="n">
        <v>248.87</v>
      </c>
      <c r="F2" s="4" t="n"/>
      <c r="G2" s="5">
        <f>IF(OR(F2="",E2=0),"",F2/E2-1)</f>
        <v/>
      </c>
    </row>
    <row r="3">
      <c r="A3" s="4" t="inlineStr">
        <is>
          <t>flat.EZDK.imported_scrap_usd_t</t>
        </is>
      </c>
      <c r="B3" s="4" t="inlineStr">
        <is>
          <t>EZDK</t>
        </is>
      </c>
      <c r="C3" s="4" t="inlineStr">
        <is>
          <t>imported scrap usd t</t>
        </is>
      </c>
      <c r="D3" s="4" t="inlineStr">
        <is>
          <t>$/t</t>
        </is>
      </c>
      <c r="E3" s="4" t="n">
        <v>275.51</v>
      </c>
      <c r="F3" s="4" t="n"/>
      <c r="G3" s="5">
        <f>IF(OR(F3="",E3=0),"",F3/E3-1)</f>
        <v/>
      </c>
    </row>
    <row r="4">
      <c r="A4" s="4" t="inlineStr">
        <is>
          <t>flat.EZDK.electricity_usd_kwh</t>
        </is>
      </c>
      <c r="B4" s="4" t="inlineStr">
        <is>
          <t>EZDK</t>
        </is>
      </c>
      <c r="C4" s="4" t="inlineStr">
        <is>
          <t>electricity usd kwh</t>
        </is>
      </c>
      <c r="D4" s="4" t="inlineStr"/>
      <c r="E4" s="4" t="n">
        <v>0.07000000000000001</v>
      </c>
      <c r="F4" s="4" t="n"/>
      <c r="G4" s="5">
        <f>IF(OR(F4="",E4=0),"",F4/E4-1)</f>
        <v/>
      </c>
    </row>
    <row r="5">
      <c r="A5" s="4" t="inlineStr">
        <is>
          <t>flat.EZDK.blend_pct.dri</t>
        </is>
      </c>
      <c r="B5" s="4" t="inlineStr">
        <is>
          <t>EZDK</t>
        </is>
      </c>
      <c r="C5" s="4" t="inlineStr">
        <is>
          <t>blend pct · dri</t>
        </is>
      </c>
      <c r="D5" s="4" t="inlineStr">
        <is>
          <t>%</t>
        </is>
      </c>
      <c r="E5" s="4" t="n">
        <v>80</v>
      </c>
      <c r="F5" s="4" t="n"/>
      <c r="G5" s="5">
        <f>IF(OR(F5="",E5=0),"",F5/E5-1)</f>
        <v/>
      </c>
    </row>
    <row r="6">
      <c r="A6" s="4" t="inlineStr">
        <is>
          <t>flat.EZDK.blend_pct.local_scrap</t>
        </is>
      </c>
      <c r="B6" s="4" t="inlineStr">
        <is>
          <t>EZDK</t>
        </is>
      </c>
      <c r="C6" s="4" t="inlineStr">
        <is>
          <t>blend pct · local scrap</t>
        </is>
      </c>
      <c r="D6" s="4" t="inlineStr">
        <is>
          <t>%</t>
        </is>
      </c>
      <c r="E6" s="4" t="n">
        <v>16.998</v>
      </c>
      <c r="F6" s="4" t="n"/>
      <c r="G6" s="5">
        <f>IF(OR(F6="",E6=0),"",F6/E6-1)</f>
        <v/>
      </c>
    </row>
    <row r="7">
      <c r="A7" s="4" t="inlineStr">
        <is>
          <t>flat.EZDK.blend_pct.imported_scrap</t>
        </is>
      </c>
      <c r="B7" s="4" t="inlineStr">
        <is>
          <t>EZDK</t>
        </is>
      </c>
      <c r="C7" s="4" t="inlineStr">
        <is>
          <t>blend pct · imported scrap</t>
        </is>
      </c>
      <c r="D7" s="4" t="inlineStr">
        <is>
          <t>%</t>
        </is>
      </c>
      <c r="E7" s="4" t="n">
        <v>3.001999999999999</v>
      </c>
      <c r="F7" s="4" t="n"/>
      <c r="G7" s="5">
        <f>IF(OR(F7="",E7=0),"",F7/E7-1)</f>
        <v/>
      </c>
    </row>
    <row r="8">
      <c r="A8" s="4" t="inlineStr">
        <is>
          <t>flat.EZDK.eaf_yield_pct</t>
        </is>
      </c>
      <c r="B8" s="4" t="inlineStr">
        <is>
          <t>EZDK</t>
        </is>
      </c>
      <c r="C8" s="4" t="inlineStr">
        <is>
          <t>eaf yield pct</t>
        </is>
      </c>
      <c r="D8" s="4" t="inlineStr">
        <is>
          <t>%</t>
        </is>
      </c>
      <c r="E8" s="4" t="n">
        <v>85.22</v>
      </c>
      <c r="F8" s="4" t="n"/>
      <c r="G8" s="5">
        <f>IF(OR(F8="",E8=0),"",F8/E8-1)</f>
        <v/>
      </c>
    </row>
    <row r="9">
      <c r="A9" s="4" t="inlineStr">
        <is>
          <t>flat.EZDK.tsc_yield_pct</t>
        </is>
      </c>
      <c r="B9" s="4" t="inlineStr">
        <is>
          <t>EZDK</t>
        </is>
      </c>
      <c r="C9" s="4" t="inlineStr">
        <is>
          <t>tsc yield pct</t>
        </is>
      </c>
      <c r="D9" s="4" t="inlineStr">
        <is>
          <t>%</t>
        </is>
      </c>
      <c r="E9" s="4" t="n">
        <v>98.73</v>
      </c>
      <c r="F9" s="4" t="n"/>
      <c r="G9" s="5">
        <f>IF(OR(F9="",E9=0),"",F9/E9-1)</f>
        <v/>
      </c>
    </row>
    <row r="10">
      <c r="A10" s="4" t="inlineStr">
        <is>
          <t>flat.EZDK.hsm_yield_pct</t>
        </is>
      </c>
      <c r="B10" s="4" t="inlineStr">
        <is>
          <t>EZDK</t>
        </is>
      </c>
      <c r="C10" s="4" t="inlineStr">
        <is>
          <t>hsm yield pct</t>
        </is>
      </c>
      <c r="D10" s="4" t="inlineStr">
        <is>
          <t>%</t>
        </is>
      </c>
      <c r="E10" s="4" t="n">
        <v>97.68000000000001</v>
      </c>
      <c r="F10" s="4" t="n"/>
      <c r="G10" s="5">
        <f>IF(OR(F10="",E10=0),"",F10/E10-1)</f>
        <v/>
      </c>
    </row>
    <row r="11">
      <c r="A11" s="4" t="inlineStr">
        <is>
          <t>flat.EZDK.eaf_lf_electricity_kwh_t_ms</t>
        </is>
      </c>
      <c r="B11" s="4" t="inlineStr">
        <is>
          <t>EZDK</t>
        </is>
      </c>
      <c r="C11" s="4" t="inlineStr">
        <is>
          <t>eaf lf electricity kwh t ms</t>
        </is>
      </c>
      <c r="D11" s="4" t="inlineStr"/>
      <c r="E11" s="4" t="n">
        <v>693.12</v>
      </c>
      <c r="F11" s="4" t="n"/>
      <c r="G11" s="5">
        <f>IF(OR(F11="",E11=0),"",F11/E11-1)</f>
        <v/>
      </c>
    </row>
    <row r="12">
      <c r="A12" s="4" t="inlineStr">
        <is>
          <t>flat.EFS.local_scrap_usd_t</t>
        </is>
      </c>
      <c r="B12" s="4" t="inlineStr">
        <is>
          <t>EFS</t>
        </is>
      </c>
      <c r="C12" s="4" t="inlineStr">
        <is>
          <t>local scrap usd t</t>
        </is>
      </c>
      <c r="D12" s="4" t="inlineStr">
        <is>
          <t>$/t</t>
        </is>
      </c>
      <c r="E12" s="4" t="n">
        <v>248.87</v>
      </c>
      <c r="F12" s="4" t="n"/>
      <c r="G12" s="5">
        <f>IF(OR(F12="",E12=0),"",F12/E12-1)</f>
        <v/>
      </c>
    </row>
    <row r="13">
      <c r="A13" s="4" t="inlineStr">
        <is>
          <t>flat.EFS.imported_scrap_usd_t</t>
        </is>
      </c>
      <c r="B13" s="4" t="inlineStr">
        <is>
          <t>EFS</t>
        </is>
      </c>
      <c r="C13" s="4" t="inlineStr">
        <is>
          <t>imported scrap usd t</t>
        </is>
      </c>
      <c r="D13" s="4" t="inlineStr">
        <is>
          <t>$/t</t>
        </is>
      </c>
      <c r="E13" s="4" t="n">
        <v>267.27</v>
      </c>
      <c r="F13" s="4" t="n"/>
      <c r="G13" s="5">
        <f>IF(OR(F13="",E13=0),"",F13/E13-1)</f>
        <v/>
      </c>
    </row>
    <row r="14">
      <c r="A14" s="4" t="inlineStr">
        <is>
          <t>flat.EFS.electricity_usd_kwh</t>
        </is>
      </c>
      <c r="B14" s="4" t="inlineStr">
        <is>
          <t>EFS</t>
        </is>
      </c>
      <c r="C14" s="4" t="inlineStr">
        <is>
          <t>electricity usd kwh</t>
        </is>
      </c>
      <c r="D14" s="4" t="inlineStr"/>
      <c r="E14" s="4" t="n">
        <v>0.07000000000000001</v>
      </c>
      <c r="F14" s="4" t="n"/>
      <c r="G14" s="5">
        <f>IF(OR(F14="",E14=0),"",F14/E14-1)</f>
        <v/>
      </c>
    </row>
    <row r="15">
      <c r="A15" s="4" t="inlineStr">
        <is>
          <t>flat.EFS.blend_pct.dri</t>
        </is>
      </c>
      <c r="B15" s="4" t="inlineStr">
        <is>
          <t>EFS</t>
        </is>
      </c>
      <c r="C15" s="4" t="inlineStr">
        <is>
          <t>blend pct · dri</t>
        </is>
      </c>
      <c r="D15" s="4" t="inlineStr">
        <is>
          <t>%</t>
        </is>
      </c>
      <c r="E15" s="4" t="n">
        <v>80</v>
      </c>
      <c r="F15" s="4" t="n"/>
      <c r="G15" s="5">
        <f>IF(OR(F15="",E15=0),"",F15/E15-1)</f>
        <v/>
      </c>
    </row>
    <row r="16">
      <c r="A16" s="4" t="inlineStr">
        <is>
          <t>flat.EFS.blend_pct.local_scrap</t>
        </is>
      </c>
      <c r="B16" s="4" t="inlineStr">
        <is>
          <t>EFS</t>
        </is>
      </c>
      <c r="C16" s="4" t="inlineStr">
        <is>
          <t>blend pct · local scrap</t>
        </is>
      </c>
      <c r="D16" s="4" t="inlineStr">
        <is>
          <t>%</t>
        </is>
      </c>
      <c r="E16" s="4" t="n">
        <v>14</v>
      </c>
      <c r="F16" s="4" t="n"/>
      <c r="G16" s="5">
        <f>IF(OR(F16="",E16=0),"",F16/E16-1)</f>
        <v/>
      </c>
    </row>
    <row r="17">
      <c r="A17" s="4" t="inlineStr">
        <is>
          <t>flat.EFS.blend_pct.imported_scrap</t>
        </is>
      </c>
      <c r="B17" s="4" t="inlineStr">
        <is>
          <t>EFS</t>
        </is>
      </c>
      <c r="C17" s="4" t="inlineStr">
        <is>
          <t>blend pct · imported scrap</t>
        </is>
      </c>
      <c r="D17" s="4" t="inlineStr">
        <is>
          <t>%</t>
        </is>
      </c>
      <c r="E17" s="4" t="n">
        <v>6</v>
      </c>
      <c r="F17" s="4" t="n"/>
      <c r="G17" s="5">
        <f>IF(OR(F17="",E17=0),"",F17/E17-1)</f>
        <v/>
      </c>
    </row>
    <row r="18">
      <c r="A18" s="4" t="inlineStr">
        <is>
          <t>flat.EFS.eaf_yield_pct</t>
        </is>
      </c>
      <c r="B18" s="4" t="inlineStr">
        <is>
          <t>EFS</t>
        </is>
      </c>
      <c r="C18" s="4" t="inlineStr">
        <is>
          <t>eaf yield pct</t>
        </is>
      </c>
      <c r="D18" s="4" t="inlineStr">
        <is>
          <t>%</t>
        </is>
      </c>
      <c r="E18" s="4" t="n">
        <v>84.17</v>
      </c>
      <c r="F18" s="4" t="n"/>
      <c r="G18" s="5">
        <f>IF(OR(F18="",E18=0),"",F18/E18-1)</f>
        <v/>
      </c>
    </row>
    <row r="19">
      <c r="A19" s="4" t="inlineStr">
        <is>
          <t>flat.EFS.tsc_yield_pct</t>
        </is>
      </c>
      <c r="B19" s="4" t="inlineStr">
        <is>
          <t>EFS</t>
        </is>
      </c>
      <c r="C19" s="4" t="inlineStr">
        <is>
          <t>tsc yield pct</t>
        </is>
      </c>
      <c r="D19" s="4" t="inlineStr">
        <is>
          <t>%</t>
        </is>
      </c>
      <c r="E19" s="4" t="n">
        <v>98</v>
      </c>
      <c r="F19" s="4" t="n"/>
      <c r="G19" s="5">
        <f>IF(OR(F19="",E19=0),"",F19/E19-1)</f>
        <v/>
      </c>
    </row>
    <row r="20">
      <c r="A20" s="4" t="inlineStr">
        <is>
          <t>flat.EFS.hsm_yield_pct</t>
        </is>
      </c>
      <c r="B20" s="4" t="inlineStr">
        <is>
          <t>EFS</t>
        </is>
      </c>
      <c r="C20" s="4" t="inlineStr">
        <is>
          <t>hsm yield pct</t>
        </is>
      </c>
      <c r="D20" s="4" t="inlineStr">
        <is>
          <t>%</t>
        </is>
      </c>
      <c r="E20" s="4" t="n">
        <v>98</v>
      </c>
      <c r="F20" s="4" t="n"/>
      <c r="G20" s="5">
        <f>IF(OR(F20="",E20=0),"",F20/E20-1)</f>
        <v/>
      </c>
    </row>
    <row r="21">
      <c r="A21" s="4" t="inlineStr">
        <is>
          <t>flat.EFS.eaf_lf_electricity_kwh_t_ms</t>
        </is>
      </c>
      <c r="B21" s="4" t="inlineStr">
        <is>
          <t>EFS</t>
        </is>
      </c>
      <c r="C21" s="4" t="inlineStr">
        <is>
          <t>eaf lf electricity kwh t ms</t>
        </is>
      </c>
      <c r="D21" s="4" t="inlineStr"/>
      <c r="E21" s="4" t="n">
        <v>708.39</v>
      </c>
      <c r="F21" s="4" t="n"/>
      <c r="G21" s="5">
        <f>IF(OR(F21="",E21=0),"",F21/E21-1)</f>
        <v/>
      </c>
    </row>
    <row r="22">
      <c r="A22" s="4" t="inlineStr">
        <is>
          <t>finishing_yield_pct.Rebar.EZDK</t>
        </is>
      </c>
      <c r="B22" s="4" t="inlineStr">
        <is>
          <t>EZDK</t>
        </is>
      </c>
      <c r="C22" s="4" t="inlineStr">
        <is>
          <t>Rebar</t>
        </is>
      </c>
      <c r="D22" s="4" t="inlineStr"/>
      <c r="E22" s="4" t="n">
        <v>93.62</v>
      </c>
      <c r="F22" s="4" t="n"/>
      <c r="G22" s="5">
        <f>IF(OR(F22="",E22=0),"",F22/E22-1)</f>
        <v/>
      </c>
    </row>
    <row r="23">
      <c r="A23" s="4" t="inlineStr">
        <is>
          <t>finishing_yield_pct.Rebar.EFS</t>
        </is>
      </c>
      <c r="B23" s="4" t="inlineStr">
        <is>
          <t>EFS</t>
        </is>
      </c>
      <c r="C23" s="4" t="inlineStr">
        <is>
          <t>Rebar</t>
        </is>
      </c>
      <c r="D23" s="4" t="inlineStr"/>
      <c r="E23" s="4" t="n">
        <v>97.09</v>
      </c>
      <c r="F23" s="4" t="n"/>
      <c r="G23" s="5">
        <f>IF(OR(F23="",E23=0),"",F23/E23-1)</f>
        <v/>
      </c>
    </row>
    <row r="24">
      <c r="A24" s="4" t="inlineStr">
        <is>
          <t>finishing_yield_pct.Rebar.ERM</t>
        </is>
      </c>
      <c r="B24" s="4" t="inlineStr">
        <is>
          <t>ERM</t>
        </is>
      </c>
      <c r="C24" s="4" t="inlineStr">
        <is>
          <t>Rebar</t>
        </is>
      </c>
      <c r="D24" s="4" t="inlineStr"/>
      <c r="E24" s="4" t="n">
        <v>97.91787249452645</v>
      </c>
      <c r="F24" s="4" t="n"/>
      <c r="G24" s="5">
        <f>IF(OR(F24="",E24=0),"",F24/E24-1)</f>
        <v/>
      </c>
    </row>
    <row r="25">
      <c r="A25" s="4" t="inlineStr">
        <is>
          <t>finishing_yield_pct.Rebar.ESR</t>
        </is>
      </c>
      <c r="B25" s="4" t="inlineStr">
        <is>
          <t>ESR</t>
        </is>
      </c>
      <c r="C25" s="4" t="inlineStr">
        <is>
          <t>Rebar</t>
        </is>
      </c>
      <c r="D25" s="4" t="inlineStr"/>
      <c r="E25" s="4" t="n">
        <v>96.8227294447093</v>
      </c>
      <c r="F25" s="4" t="n"/>
      <c r="G25" s="5">
        <f>IF(OR(F25="",E25=0),"",F25/E25-1)</f>
        <v/>
      </c>
    </row>
    <row r="26">
      <c r="A26" s="4" t="inlineStr">
        <is>
          <t>finishing_yield_pct.Wire Rod.EZDK</t>
        </is>
      </c>
      <c r="B26" s="4" t="inlineStr">
        <is>
          <t>EZDK</t>
        </is>
      </c>
      <c r="C26" s="4" t="inlineStr">
        <is>
          <t>Wire Rod</t>
        </is>
      </c>
      <c r="D26" s="4" t="inlineStr"/>
      <c r="E26" s="4" t="n">
        <v>97.61</v>
      </c>
      <c r="F26" s="4" t="n"/>
      <c r="G26" s="5">
        <f>IF(OR(F26="",E26=0),"",F26/E26-1)</f>
        <v/>
      </c>
    </row>
    <row r="27">
      <c r="A27" s="4" t="inlineStr">
        <is>
          <t>detail.EZDK Rebar.stage3.feed_share.produced</t>
        </is>
      </c>
      <c r="B27" s="4" t="inlineStr">
        <is>
          <t>EZDK Rebar</t>
        </is>
      </c>
      <c r="C27" s="4" t="inlineStr">
        <is>
          <t>stage3 · feed share · produced</t>
        </is>
      </c>
      <c r="D27" s="4" t="inlineStr"/>
      <c r="E27" s="4" t="n">
        <v>1</v>
      </c>
      <c r="F27" s="4" t="n"/>
      <c r="G27" s="5">
        <f>IF(OR(F27="",E27=0),"",F27/E27-1)</f>
        <v/>
      </c>
    </row>
    <row r="28">
      <c r="A28" s="4" t="inlineStr">
        <is>
          <t>detail.EZDK Rebar.stage3.feed_share.local</t>
        </is>
      </c>
      <c r="B28" s="4" t="inlineStr">
        <is>
          <t>EZDK Rebar</t>
        </is>
      </c>
      <c r="C28" s="4" t="inlineStr">
        <is>
          <t>stage3 · feed share · local</t>
        </is>
      </c>
      <c r="D28" s="4" t="inlineStr"/>
      <c r="E28" s="4" t="n">
        <v>0</v>
      </c>
      <c r="F28" s="4" t="n"/>
      <c r="G28" s="5">
        <f>IF(OR(F28="",E28=0),"",F28/E28-1)</f>
        <v/>
      </c>
    </row>
    <row r="29">
      <c r="A29" s="4" t="inlineStr">
        <is>
          <t>detail.EZDK Rebar.stage3.feed_share.imported</t>
        </is>
      </c>
      <c r="B29" s="4" t="inlineStr">
        <is>
          <t>EZDK Rebar</t>
        </is>
      </c>
      <c r="C29" s="4" t="inlineStr">
        <is>
          <t>stage3 · feed share · imported</t>
        </is>
      </c>
      <c r="D29" s="4" t="inlineStr"/>
      <c r="E29" s="4" t="n">
        <v>0</v>
      </c>
      <c r="F29" s="4" t="n"/>
      <c r="G29" s="5">
        <f>IF(OR(F29="",E29=0),"",F29/E29-1)</f>
        <v/>
      </c>
    </row>
    <row r="30">
      <c r="A30" s="4" t="inlineStr">
        <is>
          <t>detail.EZDK Rebar.stage3.byproduct_pct_of_feed</t>
        </is>
      </c>
      <c r="B30" s="4" t="inlineStr">
        <is>
          <t>EZDK Rebar</t>
        </is>
      </c>
      <c r="C30" s="4" t="inlineStr">
        <is>
          <t>stage3 · byproduct pct of feed</t>
        </is>
      </c>
      <c r="D30" s="4" t="inlineStr"/>
      <c r="E30" s="4" t="n">
        <v>-0.0429671824854594</v>
      </c>
      <c r="F30" s="4" t="n"/>
      <c r="G30" s="5">
        <f>IF(OR(F30="",E30=0),"",F30/E30-1)</f>
        <v/>
      </c>
    </row>
    <row r="31">
      <c r="A31" s="4" t="inlineStr">
        <is>
          <t>detail.EZDK Rebar.stage3.consumption.refractories_kg</t>
        </is>
      </c>
      <c r="B31" s="4" t="inlineStr">
        <is>
          <t>EZDK Rebar</t>
        </is>
      </c>
      <c r="C31" s="4" t="inlineStr">
        <is>
          <t>stage3 · consumption · refractories kg</t>
        </is>
      </c>
      <c r="D31" s="4" t="inlineStr"/>
      <c r="E31" s="4" t="n">
        <v>0.7184245777221193</v>
      </c>
      <c r="F31" s="4" t="n"/>
      <c r="G31" s="5">
        <f>IF(OR(F31="",E31=0),"",F31/E31-1)</f>
        <v/>
      </c>
    </row>
    <row r="32">
      <c r="A32" s="4" t="inlineStr">
        <is>
          <t>detail.EZDK Rebar.stage3.consumption.electricity_kwh</t>
        </is>
      </c>
      <c r="B32" s="4" t="inlineStr">
        <is>
          <t>EZDK Rebar</t>
        </is>
      </c>
      <c r="C32" s="4" t="inlineStr">
        <is>
          <t>stage3 · consumption · electricity kwh</t>
        </is>
      </c>
      <c r="D32" s="4" t="inlineStr"/>
      <c r="E32" s="4" t="n">
        <v>99.81222249827461</v>
      </c>
      <c r="F32" s="4" t="n"/>
      <c r="G32" s="5">
        <f>IF(OR(F32="",E32=0),"",F32/E32-1)</f>
        <v/>
      </c>
    </row>
    <row r="33">
      <c r="A33" s="4" t="inlineStr">
        <is>
          <t>detail.EZDK Rebar.stage3.consumption.natural_gas_nm3</t>
        </is>
      </c>
      <c r="B33" s="4" t="inlineStr">
        <is>
          <t>EZDK Rebar</t>
        </is>
      </c>
      <c r="C33" s="4" t="inlineStr">
        <is>
          <t>stage3 · consumption · natural gas nm3</t>
        </is>
      </c>
      <c r="D33" s="4" t="inlineStr"/>
      <c r="E33" s="4" t="n">
        <v>31.71842905583779</v>
      </c>
      <c r="F33" s="4" t="n"/>
      <c r="G33" s="5">
        <f>IF(OR(F33="",E33=0),"",F33/E33-1)</f>
        <v/>
      </c>
    </row>
    <row r="34">
      <c r="A34" s="4" t="inlineStr">
        <is>
          <t>detail.EZDK Rebar.stage3.consumption.water_m3</t>
        </is>
      </c>
      <c r="B34" s="4" t="inlineStr">
        <is>
          <t>EZDK Rebar</t>
        </is>
      </c>
      <c r="C34" s="4" t="inlineStr">
        <is>
          <t>stage3 · consumption · water m3</t>
        </is>
      </c>
      <c r="D34" s="4" t="inlineStr"/>
      <c r="E34" s="4" t="n">
        <v>0.4527712000215207</v>
      </c>
      <c r="F34" s="4" t="n"/>
      <c r="G34" s="5">
        <f>IF(OR(F34="",E34=0),"",F34/E34-1)</f>
        <v/>
      </c>
    </row>
    <row r="35">
      <c r="A35" s="4" t="inlineStr">
        <is>
          <t>detail.EZDK Rebar.stage3.consumption.work_roll_units</t>
        </is>
      </c>
      <c r="B35" s="4" t="inlineStr">
        <is>
          <t>EZDK Rebar</t>
        </is>
      </c>
      <c r="C35" s="4" t="inlineStr">
        <is>
          <t>stage3 · consumption · work roll units</t>
        </is>
      </c>
      <c r="D35" s="4" t="inlineStr"/>
      <c r="E35" s="4" t="n">
        <v>1</v>
      </c>
      <c r="F35" s="4" t="n"/>
      <c r="G35" s="5">
        <f>IF(OR(F35="",E35=0),"",F35/E35-1)</f>
        <v/>
      </c>
    </row>
    <row r="36">
      <c r="A36" s="4" t="inlineStr">
        <is>
          <t>detail.EZDK Rebar.stage3.prices_usd.local_feed_t</t>
        </is>
      </c>
      <c r="B36" s="4" t="inlineStr">
        <is>
          <t>EZDK Rebar</t>
        </is>
      </c>
      <c r="C36" s="4" t="inlineStr">
        <is>
          <t>stage3 · prices usd · local feed t</t>
        </is>
      </c>
      <c r="D36" s="4" t="inlineStr"/>
      <c r="E36" s="4" t="n">
        <v>0</v>
      </c>
      <c r="F36" s="4" t="n"/>
      <c r="G36" s="5">
        <f>IF(OR(F36="",E36=0),"",F36/E36-1)</f>
        <v/>
      </c>
    </row>
    <row r="37">
      <c r="A37" s="4" t="inlineStr">
        <is>
          <t>detail.EZDK Rebar.stage3.prices_usd.imported_feed_t</t>
        </is>
      </c>
      <c r="B37" s="4" t="inlineStr">
        <is>
          <t>EZDK Rebar</t>
        </is>
      </c>
      <c r="C37" s="4" t="inlineStr">
        <is>
          <t>stage3 · prices usd · imported feed t</t>
        </is>
      </c>
      <c r="D37" s="4" t="inlineStr"/>
      <c r="E37" s="4" t="n">
        <v>0</v>
      </c>
      <c r="F37" s="4" t="n"/>
      <c r="G37" s="5">
        <f>IF(OR(F37="",E37=0),"",F37/E37-1)</f>
        <v/>
      </c>
    </row>
    <row r="38">
      <c r="A38" s="4" t="inlineStr">
        <is>
          <t>detail.EZDK Rebar.stage3.prices_usd.byproduct_t</t>
        </is>
      </c>
      <c r="B38" s="4" t="inlineStr">
        <is>
          <t>EZDK Rebar</t>
        </is>
      </c>
      <c r="C38" s="4" t="inlineStr">
        <is>
          <t>stage3 · prices usd · byproduct t</t>
        </is>
      </c>
      <c r="D38" s="4" t="inlineStr"/>
      <c r="E38" s="4" t="n">
        <v>346.0049074670213</v>
      </c>
      <c r="F38" s="4" t="n"/>
      <c r="G38" s="5">
        <f>IF(OR(F38="",E38=0),"",F38/E38-1)</f>
        <v/>
      </c>
    </row>
    <row r="39">
      <c r="A39" s="4" t="inlineStr">
        <is>
          <t>detail.EZDK Rebar.stage3.prices_usd.refractories_kg</t>
        </is>
      </c>
      <c r="B39" s="4" t="inlineStr">
        <is>
          <t>EZDK Rebar</t>
        </is>
      </c>
      <c r="C39" s="4" t="inlineStr">
        <is>
          <t>stage3 · prices usd · refractories kg</t>
        </is>
      </c>
      <c r="D39" s="4" t="inlineStr"/>
      <c r="E39" s="4" t="n">
        <v>1192.134271671135</v>
      </c>
      <c r="F39" s="4" t="n"/>
      <c r="G39" s="5">
        <f>IF(OR(F39="",E39=0),"",F39/E39-1)</f>
        <v/>
      </c>
    </row>
    <row r="40">
      <c r="A40" s="4" t="inlineStr">
        <is>
          <t>detail.EZDK Rebar.stage3.prices_usd.work_roll_unit</t>
        </is>
      </c>
      <c r="B40" s="4" t="inlineStr">
        <is>
          <t>EZDK Rebar</t>
        </is>
      </c>
      <c r="C40" s="4" t="inlineStr">
        <is>
          <t>stage3 · prices usd · work roll unit</t>
        </is>
      </c>
      <c r="D40" s="4" t="inlineStr"/>
      <c r="E40" s="4" t="n">
        <v>0.2342231833109885</v>
      </c>
      <c r="F40" s="4" t="n"/>
      <c r="G40" s="5">
        <f>IF(OR(F40="",E40=0),"",F40/E40-1)</f>
        <v/>
      </c>
    </row>
    <row r="41">
      <c r="A41" s="4" t="inlineStr">
        <is>
          <t>detail.EFS Rebar.stage3.feed_share.produced</t>
        </is>
      </c>
      <c r="B41" s="4" t="inlineStr">
        <is>
          <t>EFS Rebar</t>
        </is>
      </c>
      <c r="C41" s="4" t="inlineStr">
        <is>
          <t>stage3 · feed share · produced</t>
        </is>
      </c>
      <c r="D41" s="4" t="inlineStr"/>
      <c r="E41" s="4" t="n">
        <v>1</v>
      </c>
      <c r="F41" s="4" t="n"/>
      <c r="G41" s="5">
        <f>IF(OR(F41="",E41=0),"",F41/E41-1)</f>
        <v/>
      </c>
    </row>
    <row r="42">
      <c r="A42" s="4" t="inlineStr">
        <is>
          <t>detail.EFS Rebar.stage3.feed_share.local</t>
        </is>
      </c>
      <c r="B42" s="4" t="inlineStr">
        <is>
          <t>EFS Rebar</t>
        </is>
      </c>
      <c r="C42" s="4" t="inlineStr">
        <is>
          <t>stage3 · feed share · local</t>
        </is>
      </c>
      <c r="D42" s="4" t="inlineStr"/>
      <c r="E42" s="4" t="n">
        <v>0</v>
      </c>
      <c r="F42" s="4" t="n"/>
      <c r="G42" s="5">
        <f>IF(OR(F42="",E42=0),"",F42/E42-1)</f>
        <v/>
      </c>
    </row>
    <row r="43">
      <c r="A43" s="4" t="inlineStr">
        <is>
          <t>detail.EFS Rebar.stage3.feed_share.imported</t>
        </is>
      </c>
      <c r="B43" s="4" t="inlineStr">
        <is>
          <t>EFS Rebar</t>
        </is>
      </c>
      <c r="C43" s="4" t="inlineStr">
        <is>
          <t>stage3 · feed share · imported</t>
        </is>
      </c>
      <c r="D43" s="4" t="inlineStr"/>
      <c r="E43" s="4" t="n">
        <v>0</v>
      </c>
      <c r="F43" s="4" t="n"/>
      <c r="G43" s="5">
        <f>IF(OR(F43="",E43=0),"",F43/E43-1)</f>
        <v/>
      </c>
    </row>
    <row r="44">
      <c r="A44" s="4" t="inlineStr">
        <is>
          <t>detail.EFS Rebar.stage3.byproduct_pct_of_feed</t>
        </is>
      </c>
      <c r="B44" s="4" t="inlineStr">
        <is>
          <t>EFS Rebar</t>
        </is>
      </c>
      <c r="C44" s="4" t="inlineStr">
        <is>
          <t>stage3 · byproduct pct of feed</t>
        </is>
      </c>
      <c r="D44" s="4" t="inlineStr"/>
      <c r="E44" s="4" t="n">
        <v>-0.0203274432117428</v>
      </c>
      <c r="F44" s="4" t="n"/>
      <c r="G44" s="5">
        <f>IF(OR(F44="",E44=0),"",F44/E44-1)</f>
        <v/>
      </c>
    </row>
    <row r="45">
      <c r="A45" s="4" t="inlineStr">
        <is>
          <t>detail.EFS Rebar.stage3.consumption.refractories_kg</t>
        </is>
      </c>
      <c r="B45" s="4" t="inlineStr">
        <is>
          <t>EFS Rebar</t>
        </is>
      </c>
      <c r="C45" s="4" t="inlineStr">
        <is>
          <t>stage3 · consumption · refractories kg</t>
        </is>
      </c>
      <c r="D45" s="4" t="inlineStr"/>
      <c r="E45" s="4" t="n">
        <v>0.7184245777221193</v>
      </c>
      <c r="F45" s="4" t="n"/>
      <c r="G45" s="5">
        <f>IF(OR(F45="",E45=0),"",F45/E45-1)</f>
        <v/>
      </c>
    </row>
    <row r="46">
      <c r="A46" s="4" t="inlineStr">
        <is>
          <t>detail.EFS Rebar.stage3.consumption.electricity_kwh</t>
        </is>
      </c>
      <c r="B46" s="4" t="inlineStr">
        <is>
          <t>EFS Rebar</t>
        </is>
      </c>
      <c r="C46" s="4" t="inlineStr">
        <is>
          <t>stage3 · consumption · electricity kwh</t>
        </is>
      </c>
      <c r="D46" s="4" t="inlineStr"/>
      <c r="E46" s="4" t="n">
        <v>79.57633594973564</v>
      </c>
      <c r="F46" s="4" t="n"/>
      <c r="G46" s="5">
        <f>IF(OR(F46="",E46=0),"",F46/E46-1)</f>
        <v/>
      </c>
    </row>
    <row r="47">
      <c r="A47" s="4" t="inlineStr">
        <is>
          <t>detail.EFS Rebar.stage3.consumption.natural_gas_nm3</t>
        </is>
      </c>
      <c r="B47" s="4" t="inlineStr">
        <is>
          <t>EFS Rebar</t>
        </is>
      </c>
      <c r="C47" s="4" t="inlineStr">
        <is>
          <t>stage3 · consumption · natural gas nm3</t>
        </is>
      </c>
      <c r="D47" s="4" t="inlineStr"/>
      <c r="E47" s="4" t="n">
        <v>22.20290033908646</v>
      </c>
      <c r="F47" s="4" t="n"/>
      <c r="G47" s="5">
        <f>IF(OR(F47="",E47=0),"",F47/E47-1)</f>
        <v/>
      </c>
    </row>
    <row r="48">
      <c r="A48" s="4" t="inlineStr">
        <is>
          <t>detail.EFS Rebar.stage3.consumption.water_m3</t>
        </is>
      </c>
      <c r="B48" s="4" t="inlineStr">
        <is>
          <t>EFS Rebar</t>
        </is>
      </c>
      <c r="C48" s="4" t="inlineStr">
        <is>
          <t>stage3 · consumption · water m3</t>
        </is>
      </c>
      <c r="D48" s="4" t="inlineStr"/>
      <c r="E48" s="4" t="n">
        <v>0.4527712000215207</v>
      </c>
      <c r="F48" s="4" t="n"/>
      <c r="G48" s="5">
        <f>IF(OR(F48="",E48=0),"",F48/E48-1)</f>
        <v/>
      </c>
    </row>
    <row r="49">
      <c r="A49" s="4" t="inlineStr">
        <is>
          <t>detail.EFS Rebar.stage3.consumption.work_roll_units</t>
        </is>
      </c>
      <c r="B49" s="4" t="inlineStr">
        <is>
          <t>EFS Rebar</t>
        </is>
      </c>
      <c r="C49" s="4" t="inlineStr">
        <is>
          <t>stage3 · consumption · work roll units</t>
        </is>
      </c>
      <c r="D49" s="4" t="inlineStr"/>
      <c r="E49" s="4" t="n">
        <v>0</v>
      </c>
      <c r="F49" s="4" t="n"/>
      <c r="G49" s="5">
        <f>IF(OR(F49="",E49=0),"",F49/E49-1)</f>
        <v/>
      </c>
    </row>
    <row r="50">
      <c r="A50" s="4" t="inlineStr">
        <is>
          <t>detail.EFS Rebar.stage3.prices_usd.local_feed_t</t>
        </is>
      </c>
      <c r="B50" s="4" t="inlineStr">
        <is>
          <t>EFS Rebar</t>
        </is>
      </c>
      <c r="C50" s="4" t="inlineStr">
        <is>
          <t>stage3 · prices usd · local feed t</t>
        </is>
      </c>
      <c r="D50" s="4" t="inlineStr"/>
      <c r="E50" s="4" t="n">
        <v>0</v>
      </c>
      <c r="F50" s="4" t="n"/>
      <c r="G50" s="5">
        <f>IF(OR(F50="",E50=0),"",F50/E50-1)</f>
        <v/>
      </c>
    </row>
    <row r="51">
      <c r="A51" s="4" t="inlineStr">
        <is>
          <t>detail.EFS Rebar.stage3.prices_usd.imported_feed_t</t>
        </is>
      </c>
      <c r="B51" s="4" t="inlineStr">
        <is>
          <t>EFS Rebar</t>
        </is>
      </c>
      <c r="C51" s="4" t="inlineStr">
        <is>
          <t>stage3 · prices usd · imported feed t</t>
        </is>
      </c>
      <c r="D51" s="4" t="inlineStr"/>
      <c r="E51" s="4" t="n">
        <v>0</v>
      </c>
      <c r="F51" s="4" t="n"/>
      <c r="G51" s="5">
        <f>IF(OR(F51="",E51=0),"",F51/E51-1)</f>
        <v/>
      </c>
    </row>
    <row r="52">
      <c r="A52" s="4" t="inlineStr">
        <is>
          <t>detail.EFS Rebar.stage3.prices_usd.byproduct_t</t>
        </is>
      </c>
      <c r="B52" s="4" t="inlineStr">
        <is>
          <t>EFS Rebar</t>
        </is>
      </c>
      <c r="C52" s="4" t="inlineStr">
        <is>
          <t>stage3 · prices usd · byproduct t</t>
        </is>
      </c>
      <c r="D52" s="4" t="inlineStr"/>
      <c r="E52" s="4" t="n">
        <v>345.8042374920664</v>
      </c>
      <c r="F52" s="4" t="n"/>
      <c r="G52" s="5">
        <f>IF(OR(F52="",E52=0),"",F52/E52-1)</f>
        <v/>
      </c>
    </row>
    <row r="53">
      <c r="A53" s="4" t="inlineStr">
        <is>
          <t>detail.EFS Rebar.stage3.prices_usd.refractories_kg</t>
        </is>
      </c>
      <c r="B53" s="4" t="inlineStr">
        <is>
          <t>EFS Rebar</t>
        </is>
      </c>
      <c r="C53" s="4" t="inlineStr">
        <is>
          <t>stage3 · prices usd · refractories kg</t>
        </is>
      </c>
      <c r="D53" s="4" t="inlineStr"/>
      <c r="E53" s="4" t="n">
        <v>1192.134271671135</v>
      </c>
      <c r="F53" s="4" t="n"/>
      <c r="G53" s="5">
        <f>IF(OR(F53="",E53=0),"",F53/E53-1)</f>
        <v/>
      </c>
    </row>
    <row r="54">
      <c r="A54" s="4" t="inlineStr">
        <is>
          <t>detail.EFS Rebar.stage3.prices_usd.work_roll_unit</t>
        </is>
      </c>
      <c r="B54" s="4" t="inlineStr">
        <is>
          <t>EFS Rebar</t>
        </is>
      </c>
      <c r="C54" s="4" t="inlineStr">
        <is>
          <t>stage3 · prices usd · work roll unit</t>
        </is>
      </c>
      <c r="D54" s="4" t="inlineStr"/>
      <c r="E54" s="4" t="n">
        <v>0</v>
      </c>
      <c r="F54" s="4" t="n"/>
      <c r="G54" s="5">
        <f>IF(OR(F54="",E54=0),"",F54/E54-1)</f>
        <v/>
      </c>
    </row>
    <row r="55">
      <c r="A55" s="4" t="inlineStr">
        <is>
          <t>detail.EZDK Flat.stage1.blend_pct.home_scrap</t>
        </is>
      </c>
      <c r="B55" s="4" t="inlineStr">
        <is>
          <t>EZDK Flat</t>
        </is>
      </c>
      <c r="C55" s="4" t="inlineStr">
        <is>
          <t>stage1 · blend pct · home scrap</t>
        </is>
      </c>
      <c r="D55" s="4" t="inlineStr">
        <is>
          <t>%</t>
        </is>
      </c>
      <c r="E55" s="4" t="n">
        <v>0</v>
      </c>
      <c r="F55" s="4" t="n"/>
      <c r="G55" s="5">
        <f>IF(OR(F55="",E55=0),"",F55/E55-1)</f>
        <v/>
      </c>
    </row>
    <row r="56">
      <c r="A56" s="4" t="inlineStr">
        <is>
          <t>detail.EZDK Flat.stage1.blend_pct.pig_iron</t>
        </is>
      </c>
      <c r="B56" s="4" t="inlineStr">
        <is>
          <t>EZDK Flat</t>
        </is>
      </c>
      <c r="C56" s="4" t="inlineStr">
        <is>
          <t>stage1 · blend pct · pig iron</t>
        </is>
      </c>
      <c r="D56" s="4" t="inlineStr">
        <is>
          <t>%</t>
        </is>
      </c>
      <c r="E56" s="4" t="n">
        <v>0</v>
      </c>
      <c r="F56" s="4" t="n"/>
      <c r="G56" s="5">
        <f>IF(OR(F56="",E56=0),"",F56/E56-1)</f>
        <v/>
      </c>
    </row>
    <row r="57">
      <c r="A57" s="4" t="inlineStr">
        <is>
          <t>detail.EZDK Flat.stage1.byproduct_pct_of_solid_charge</t>
        </is>
      </c>
      <c r="B57" s="4" t="inlineStr">
        <is>
          <t>EZDK Flat</t>
        </is>
      </c>
      <c r="C57" s="4" t="inlineStr">
        <is>
          <t>stage1 · byproduct pct of solid charge</t>
        </is>
      </c>
      <c r="D57" s="4" t="inlineStr"/>
      <c r="E57" s="4" t="n">
        <v>-0.03267341082570191</v>
      </c>
      <c r="F57" s="4" t="n"/>
      <c r="G57" s="5">
        <f>IF(OR(F57="",E57=0),"",F57/E57-1)</f>
        <v/>
      </c>
    </row>
    <row r="58">
      <c r="A58" s="4" t="inlineStr">
        <is>
          <t>detail.EZDK Flat.stage1.consumption.aux_materials_kg</t>
        </is>
      </c>
      <c r="B58" s="4" t="inlineStr">
        <is>
          <t>EZDK Flat</t>
        </is>
      </c>
      <c r="C58" s="4" t="inlineStr">
        <is>
          <t>stage1 · consumption · aux materials kg</t>
        </is>
      </c>
      <c r="D58" s="4" t="inlineStr"/>
      <c r="E58" s="4" t="n">
        <v>422.601588476686</v>
      </c>
      <c r="F58" s="4" t="n"/>
      <c r="G58" s="5">
        <f>IF(OR(F58="",E58=0),"",F58/E58-1)</f>
        <v/>
      </c>
    </row>
    <row r="59">
      <c r="A59" s="4" t="inlineStr">
        <is>
          <t>detail.EZDK Flat.stage1.consumption.refractories_kg</t>
        </is>
      </c>
      <c r="B59" s="4" t="inlineStr">
        <is>
          <t>EZDK Flat</t>
        </is>
      </c>
      <c r="C59" s="4" t="inlineStr">
        <is>
          <t>stage1 · consumption · refractories kg</t>
        </is>
      </c>
      <c r="D59" s="4" t="inlineStr"/>
      <c r="E59" s="4" t="n">
        <v>10.50859753004164</v>
      </c>
      <c r="F59" s="4" t="n"/>
      <c r="G59" s="5">
        <f>IF(OR(F59="",E59=0),"",F59/E59-1)</f>
        <v/>
      </c>
    </row>
    <row r="60">
      <c r="A60" s="4" t="inlineStr">
        <is>
          <t>detail.EZDK Flat.stage1.consumption.electrodes_kg</t>
        </is>
      </c>
      <c r="B60" s="4" t="inlineStr">
        <is>
          <t>EZDK Flat</t>
        </is>
      </c>
      <c r="C60" s="4" t="inlineStr">
        <is>
          <t>stage1 · consumption · electrodes kg</t>
        </is>
      </c>
      <c r="D60" s="4" t="inlineStr"/>
      <c r="E60" s="4" t="n">
        <v>2.580561715264233</v>
      </c>
      <c r="F60" s="4" t="n"/>
      <c r="G60" s="5">
        <f>IF(OR(F60="",E60=0),"",F60/E60-1)</f>
        <v/>
      </c>
    </row>
    <row r="61">
      <c r="A61" s="4" t="inlineStr">
        <is>
          <t>detail.EZDK Flat.stage1.consumption.other_fillers_kg</t>
        </is>
      </c>
      <c r="B61" s="4" t="inlineStr">
        <is>
          <t>EZDK Flat</t>
        </is>
      </c>
      <c r="C61" s="4" t="inlineStr">
        <is>
          <t>stage1 · consumption · other fillers kg</t>
        </is>
      </c>
      <c r="D61" s="4" t="inlineStr"/>
      <c r="E61" s="4" t="n">
        <v>1.284258610070121</v>
      </c>
      <c r="F61" s="4" t="n"/>
      <c r="G61" s="5">
        <f>IF(OR(F61="",E61=0),"",F61/E61-1)</f>
        <v/>
      </c>
    </row>
    <row r="62">
      <c r="A62" s="4" t="inlineStr">
        <is>
          <t>detail.EZDK Flat.stage1.consumption.electricity_aux_kwh</t>
        </is>
      </c>
      <c r="B62" s="4" t="inlineStr">
        <is>
          <t>EZDK Flat</t>
        </is>
      </c>
      <c r="C62" s="4" t="inlineStr">
        <is>
          <t>stage1 · consumption · electricity aux kwh</t>
        </is>
      </c>
      <c r="D62" s="4" t="inlineStr"/>
      <c r="E62" s="4" t="n">
        <v>239.7153886980133</v>
      </c>
      <c r="F62" s="4" t="n"/>
      <c r="G62" s="5">
        <f>IF(OR(F62="",E62=0),"",F62/E62-1)</f>
        <v/>
      </c>
    </row>
    <row r="63">
      <c r="A63" s="4" t="inlineStr">
        <is>
          <t>detail.EZDK Flat.stage1.consumption.natural_gas_nm3</t>
        </is>
      </c>
      <c r="B63" s="4" t="inlineStr">
        <is>
          <t>EZDK Flat</t>
        </is>
      </c>
      <c r="C63" s="4" t="inlineStr">
        <is>
          <t>stage1 · consumption · natural gas nm3</t>
        </is>
      </c>
      <c r="D63" s="4" t="inlineStr"/>
      <c r="E63" s="4" t="n">
        <v>14.59305401382995</v>
      </c>
      <c r="F63" s="4" t="n"/>
      <c r="G63" s="5">
        <f>IF(OR(F63="",E63=0),"",F63/E63-1)</f>
        <v/>
      </c>
    </row>
    <row r="64">
      <c r="A64" s="4" t="inlineStr">
        <is>
          <t>detail.EZDK Flat.stage1.consumption.water_m3</t>
        </is>
      </c>
      <c r="B64" s="4" t="inlineStr">
        <is>
          <t>EZDK Flat</t>
        </is>
      </c>
      <c r="C64" s="4" t="inlineStr">
        <is>
          <t>stage1 · consumption · water m3</t>
        </is>
      </c>
      <c r="D64" s="4" t="inlineStr"/>
      <c r="E64" s="4" t="n">
        <v>1.548884036771966</v>
      </c>
      <c r="F64" s="4" t="n"/>
      <c r="G64" s="5">
        <f>IF(OR(F64="",E64=0),"",F64/E64-1)</f>
        <v/>
      </c>
    </row>
    <row r="65">
      <c r="A65" s="4" t="inlineStr">
        <is>
          <t>detail.EZDK Flat.stage1.consumption.oxygen_nm3</t>
        </is>
      </c>
      <c r="B65" s="4" t="inlineStr">
        <is>
          <t>EZDK Flat</t>
        </is>
      </c>
      <c r="C65" s="4" t="inlineStr">
        <is>
          <t>stage1 · consumption · oxygen nm3</t>
        </is>
      </c>
      <c r="D65" s="4" t="inlineStr"/>
      <c r="E65" s="4" t="n">
        <v>34.79748753864489</v>
      </c>
      <c r="F65" s="4" t="n"/>
      <c r="G65" s="5">
        <f>IF(OR(F65="",E65=0),"",F65/E65-1)</f>
        <v/>
      </c>
    </row>
    <row r="66">
      <c r="A66" s="4" t="inlineStr">
        <is>
          <t>detail.EZDK Flat.stage1.consumption.nitrogen_nm3</t>
        </is>
      </c>
      <c r="B66" s="4" t="inlineStr">
        <is>
          <t>EZDK Flat</t>
        </is>
      </c>
      <c r="C66" s="4" t="inlineStr">
        <is>
          <t>stage1 · consumption · nitrogen nm3</t>
        </is>
      </c>
      <c r="D66" s="4" t="inlineStr"/>
      <c r="E66" s="4" t="n">
        <v>4.086498118550487</v>
      </c>
      <c r="F66" s="4" t="n"/>
      <c r="G66" s="5">
        <f>IF(OR(F66="",E66=0),"",F66/E66-1)</f>
        <v/>
      </c>
    </row>
    <row r="67">
      <c r="A67" s="4" t="inlineStr">
        <is>
          <t>detail.EZDK Flat.stage1.consumption.argon_nm3</t>
        </is>
      </c>
      <c r="B67" s="4" t="inlineStr">
        <is>
          <t>EZDK Flat</t>
        </is>
      </c>
      <c r="C67" s="4" t="inlineStr">
        <is>
          <t>stage1 · consumption · argon nm3</t>
        </is>
      </c>
      <c r="D67" s="4" t="inlineStr"/>
      <c r="E67" s="4" t="n">
        <v>0.3045588411940751</v>
      </c>
      <c r="F67" s="4" t="n"/>
      <c r="G67" s="5">
        <f>IF(OR(F67="",E67=0),"",F67/E67-1)</f>
        <v/>
      </c>
    </row>
    <row r="68">
      <c r="A68" s="4" t="inlineStr">
        <is>
          <t>detail.EZDK Flat.stage1.consumption.handling_kg</t>
        </is>
      </c>
      <c r="B68" s="4" t="inlineStr">
        <is>
          <t>EZDK Flat</t>
        </is>
      </c>
      <c r="C68" s="4" t="inlineStr">
        <is>
          <t>stage1 · consumption · handling kg</t>
        </is>
      </c>
      <c r="D68" s="4" t="inlineStr"/>
      <c r="E68" s="4" t="n">
        <v>0.9868461249466488</v>
      </c>
      <c r="F68" s="4" t="n"/>
      <c r="G68" s="5">
        <f>IF(OR(F68="",E68=0),"",F68/E68-1)</f>
        <v/>
      </c>
    </row>
    <row r="69">
      <c r="A69" s="4" t="inlineStr">
        <is>
          <t>detail.EZDK Flat.stage1.consumption.cutting_kg</t>
        </is>
      </c>
      <c r="B69" s="4" t="inlineStr">
        <is>
          <t>EZDK Flat</t>
        </is>
      </c>
      <c r="C69" s="4" t="inlineStr">
        <is>
          <t>stage1 · consumption · cutting kg</t>
        </is>
      </c>
      <c r="D69" s="4" t="inlineStr"/>
      <c r="E69" s="4" t="n">
        <v>0</v>
      </c>
      <c r="F69" s="4" t="n"/>
      <c r="G69" s="5">
        <f>IF(OR(F69="",E69=0),"",F69/E69-1)</f>
        <v/>
      </c>
    </row>
    <row r="70">
      <c r="A70" s="4" t="inlineStr">
        <is>
          <t>detail.EZDK Flat.stage1.prices_usd.home_scrap_t</t>
        </is>
      </c>
      <c r="B70" s="4" t="inlineStr">
        <is>
          <t>EZDK Flat</t>
        </is>
      </c>
      <c r="C70" s="4" t="inlineStr">
        <is>
          <t>stage1 · prices usd · home scrap t</t>
        </is>
      </c>
      <c r="D70" s="4" t="inlineStr"/>
      <c r="E70" s="4" t="n">
        <v>0</v>
      </c>
      <c r="F70" s="4" t="n"/>
      <c r="G70" s="5">
        <f>IF(OR(F70="",E70=0),"",F70/E70-1)</f>
        <v/>
      </c>
    </row>
    <row r="71">
      <c r="A71" s="4" t="inlineStr">
        <is>
          <t>detail.EZDK Flat.stage1.prices_usd.pig_iron_t</t>
        </is>
      </c>
      <c r="B71" s="4" t="inlineStr">
        <is>
          <t>EZDK Flat</t>
        </is>
      </c>
      <c r="C71" s="4" t="inlineStr">
        <is>
          <t>stage1 · prices usd · pig iron t</t>
        </is>
      </c>
      <c r="D71" s="4" t="inlineStr"/>
      <c r="E71" s="4" t="n">
        <v>0</v>
      </c>
      <c r="F71" s="4" t="n"/>
      <c r="G71" s="5">
        <f>IF(OR(F71="",E71=0),"",F71/E71-1)</f>
        <v/>
      </c>
    </row>
    <row r="72">
      <c r="A72" s="4" t="inlineStr">
        <is>
          <t>detail.EZDK Flat.stage1.prices_usd.byproduct_t</t>
        </is>
      </c>
      <c r="B72" s="4" t="inlineStr">
        <is>
          <t>EZDK Flat</t>
        </is>
      </c>
      <c r="C72" s="4" t="inlineStr">
        <is>
          <t>stage1 · prices usd · byproduct t</t>
        </is>
      </c>
      <c r="D72" s="4" t="inlineStr"/>
      <c r="E72" s="4" t="n">
        <v>352.5046788787349</v>
      </c>
      <c r="F72" s="4" t="n"/>
      <c r="G72" s="5">
        <f>IF(OR(F72="",E72=0),"",F72/E72-1)</f>
        <v/>
      </c>
    </row>
    <row r="73">
      <c r="A73" s="4" t="inlineStr">
        <is>
          <t>detail.EZDK Flat.stage1.prices_usd.aux_materials_kg</t>
        </is>
      </c>
      <c r="B73" s="4" t="inlineStr">
        <is>
          <t>EZDK Flat</t>
        </is>
      </c>
      <c r="C73" s="4" t="inlineStr">
        <is>
          <t>stage1 · prices usd · aux materials kg</t>
        </is>
      </c>
      <c r="D73" s="4" t="inlineStr"/>
      <c r="E73" s="4" t="n">
        <v>66.35784187171166</v>
      </c>
      <c r="F73" s="4" t="n"/>
      <c r="G73" s="5">
        <f>IF(OR(F73="",E73=0),"",F73/E73-1)</f>
        <v/>
      </c>
    </row>
    <row r="74">
      <c r="A74" s="4" t="inlineStr">
        <is>
          <t>detail.EZDK Flat.stage1.prices_usd.refractories_kg</t>
        </is>
      </c>
      <c r="B74" s="4" t="inlineStr">
        <is>
          <t>EZDK Flat</t>
        </is>
      </c>
      <c r="C74" s="4" t="inlineStr">
        <is>
          <t>stage1 · prices usd · refractories kg</t>
        </is>
      </c>
      <c r="D74" s="4" t="inlineStr"/>
      <c r="E74" s="4" t="n">
        <v>916.6719902559797</v>
      </c>
      <c r="F74" s="4" t="n"/>
      <c r="G74" s="5">
        <f>IF(OR(F74="",E74=0),"",F74/E74-1)</f>
        <v/>
      </c>
    </row>
    <row r="75">
      <c r="A75" s="4" t="inlineStr">
        <is>
          <t>detail.EZDK Flat.stage1.prices_usd.electrodes_kg</t>
        </is>
      </c>
      <c r="B75" s="4" t="inlineStr">
        <is>
          <t>EZDK Flat</t>
        </is>
      </c>
      <c r="C75" s="4" t="inlineStr">
        <is>
          <t>stage1 · prices usd · electrodes kg</t>
        </is>
      </c>
      <c r="D75" s="4" t="inlineStr"/>
      <c r="E75" s="4" t="n">
        <v>6438.550026282481</v>
      </c>
      <c r="F75" s="4" t="n"/>
      <c r="G75" s="5">
        <f>IF(OR(F75="",E75=0),"",F75/E75-1)</f>
        <v/>
      </c>
    </row>
    <row r="76">
      <c r="A76" s="4" t="inlineStr">
        <is>
          <t>detail.EZDK Flat.stage1.prices_usd.other_fillers_kg</t>
        </is>
      </c>
      <c r="B76" s="4" t="inlineStr">
        <is>
          <t>EZDK Flat</t>
        </is>
      </c>
      <c r="C76" s="4" t="inlineStr">
        <is>
          <t>stage1 · prices usd · other fillers kg</t>
        </is>
      </c>
      <c r="D76" s="4" t="inlineStr"/>
      <c r="E76" s="4" t="n">
        <v>257.329784432117</v>
      </c>
      <c r="F76" s="4" t="n"/>
      <c r="G76" s="5">
        <f>IF(OR(F76="",E76=0),"",F76/E76-1)</f>
        <v/>
      </c>
    </row>
    <row r="77">
      <c r="A77" s="4" t="inlineStr">
        <is>
          <t>detail.EZDK Flat.stage1.prices_usd.natural_gas_nm3</t>
        </is>
      </c>
      <c r="B77" s="4" t="inlineStr">
        <is>
          <t>EZDK Flat</t>
        </is>
      </c>
      <c r="C77" s="4" t="inlineStr">
        <is>
          <t>stage1 · prices usd · natural gas nm3</t>
        </is>
      </c>
      <c r="D77" s="4" t="inlineStr"/>
      <c r="E77" s="4" t="n">
        <v>0.250724642126514</v>
      </c>
      <c r="F77" s="4" t="n"/>
      <c r="G77" s="5">
        <f>IF(OR(F77="",E77=0),"",F77/E77-1)</f>
        <v/>
      </c>
    </row>
    <row r="78">
      <c r="A78" s="4" t="inlineStr">
        <is>
          <t>detail.EZDK Flat.stage1.prices_usd.water_m3</t>
        </is>
      </c>
      <c r="B78" s="4" t="inlineStr">
        <is>
          <t>EZDK Flat</t>
        </is>
      </c>
      <c r="C78" s="4" t="inlineStr">
        <is>
          <t>stage1 · prices usd · water m3</t>
        </is>
      </c>
      <c r="D78" s="4" t="inlineStr"/>
      <c r="E78" s="4" t="n">
        <v>0.2716395510654938</v>
      </c>
      <c r="F78" s="4" t="n"/>
      <c r="G78" s="5">
        <f>IF(OR(F78="",E78=0),"",F78/E78-1)</f>
        <v/>
      </c>
    </row>
    <row r="79">
      <c r="A79" s="4" t="inlineStr">
        <is>
          <t>detail.EZDK Flat.stage1.prices_usd.oxygen_nm3</t>
        </is>
      </c>
      <c r="B79" s="4" t="inlineStr">
        <is>
          <t>EZDK Flat</t>
        </is>
      </c>
      <c r="C79" s="4" t="inlineStr">
        <is>
          <t>stage1 · prices usd · oxygen nm3</t>
        </is>
      </c>
      <c r="D79" s="4" t="inlineStr"/>
      <c r="E79" s="4" t="n">
        <v>0.1579975033348575</v>
      </c>
      <c r="F79" s="4" t="n"/>
      <c r="G79" s="5">
        <f>IF(OR(F79="",E79=0),"",F79/E79-1)</f>
        <v/>
      </c>
    </row>
    <row r="80">
      <c r="A80" s="4" t="inlineStr">
        <is>
          <t>detail.EZDK Flat.stage1.prices_usd.nitrogen_nm3</t>
        </is>
      </c>
      <c r="B80" s="4" t="inlineStr">
        <is>
          <t>EZDK Flat</t>
        </is>
      </c>
      <c r="C80" s="4" t="inlineStr">
        <is>
          <t>stage1 · prices usd · nitrogen nm3</t>
        </is>
      </c>
      <c r="D80" s="4" t="inlineStr"/>
      <c r="E80" s="4" t="n">
        <v>0.1716647463083416</v>
      </c>
      <c r="F80" s="4" t="n"/>
      <c r="G80" s="5">
        <f>IF(OR(F80="",E80=0),"",F80/E80-1)</f>
        <v/>
      </c>
    </row>
    <row r="81">
      <c r="A81" s="4" t="inlineStr">
        <is>
          <t>detail.EZDK Flat.stage1.prices_usd.argon_nm3</t>
        </is>
      </c>
      <c r="B81" s="4" t="inlineStr">
        <is>
          <t>EZDK Flat</t>
        </is>
      </c>
      <c r="C81" s="4" t="inlineStr">
        <is>
          <t>stage1 · prices usd · argon nm3</t>
        </is>
      </c>
      <c r="D81" s="4" t="inlineStr"/>
      <c r="E81" s="4" t="n">
        <v>1.928367316863704</v>
      </c>
      <c r="F81" s="4" t="n"/>
      <c r="G81" s="5">
        <f>IF(OR(F81="",E81=0),"",F81/E81-1)</f>
        <v/>
      </c>
    </row>
    <row r="82">
      <c r="A82" s="4" t="inlineStr">
        <is>
          <t>detail.EZDK Flat.stage1.prices_usd.handling_t</t>
        </is>
      </c>
      <c r="B82" s="4" t="inlineStr">
        <is>
          <t>EZDK Flat</t>
        </is>
      </c>
      <c r="C82" s="4" t="inlineStr">
        <is>
          <t>stage1 · prices usd · handling t</t>
        </is>
      </c>
      <c r="D82" s="4" t="inlineStr"/>
      <c r="E82" s="4" t="n">
        <v>0</v>
      </c>
      <c r="F82" s="4" t="n"/>
      <c r="G82" s="5">
        <f>IF(OR(F82="",E82=0),"",F82/E82-1)</f>
        <v/>
      </c>
    </row>
    <row r="83">
      <c r="A83" s="4" t="inlineStr">
        <is>
          <t>detail.EZDK Flat.stage1.prices_usd.cutting_t</t>
        </is>
      </c>
      <c r="B83" s="4" t="inlineStr">
        <is>
          <t>EZDK Flat</t>
        </is>
      </c>
      <c r="C83" s="4" t="inlineStr">
        <is>
          <t>stage1 · prices usd · cutting t</t>
        </is>
      </c>
      <c r="D83" s="4" t="inlineStr"/>
      <c r="E83" s="4" t="n">
        <v>0</v>
      </c>
      <c r="F83" s="4" t="n"/>
      <c r="G83" s="5">
        <f>IF(OR(F83="",E83=0),"",F83/E83-1)</f>
        <v/>
      </c>
    </row>
    <row r="84">
      <c r="A84" s="4" t="inlineStr">
        <is>
          <t>detail.EZDK Flat.stage2.byproduct_pct_of_molten_steel</t>
        </is>
      </c>
      <c r="B84" s="4" t="inlineStr">
        <is>
          <t>EZDK Flat</t>
        </is>
      </c>
      <c r="C84" s="4" t="inlineStr">
        <is>
          <t>stage2 · byproduct pct of molten steel</t>
        </is>
      </c>
      <c r="D84" s="4" t="inlineStr"/>
      <c r="E84" s="4" t="n">
        <v>-0.002631984726906559</v>
      </c>
      <c r="F84" s="4" t="n"/>
      <c r="G84" s="5">
        <f>IF(OR(F84="",E84=0),"",F84/E84-1)</f>
        <v/>
      </c>
    </row>
    <row r="85">
      <c r="A85" s="4" t="inlineStr">
        <is>
          <t>detail.EZDK Flat.stage2.consumption.aux_materials_kg</t>
        </is>
      </c>
      <c r="B85" s="4" t="inlineStr">
        <is>
          <t>EZDK Flat</t>
        </is>
      </c>
      <c r="C85" s="4" t="inlineStr">
        <is>
          <t>stage2 · consumption · aux materials kg</t>
        </is>
      </c>
      <c r="D85" s="4" t="inlineStr"/>
      <c r="E85" s="4" t="n">
        <v>0.003021438574240115</v>
      </c>
      <c r="F85" s="4" t="n"/>
      <c r="G85" s="5">
        <f>IF(OR(F85="",E85=0),"",F85/E85-1)</f>
        <v/>
      </c>
    </row>
    <row r="86">
      <c r="A86" s="4" t="inlineStr">
        <is>
          <t>detail.EZDK Flat.stage2.consumption.refractories_kg</t>
        </is>
      </c>
      <c r="B86" s="4" t="inlineStr">
        <is>
          <t>EZDK Flat</t>
        </is>
      </c>
      <c r="C86" s="4" t="inlineStr">
        <is>
          <t>stage2 · consumption · refractories kg</t>
        </is>
      </c>
      <c r="D86" s="4" t="inlineStr"/>
      <c r="E86" s="4" t="n">
        <v>1.837549592597855</v>
      </c>
      <c r="F86" s="4" t="n"/>
      <c r="G86" s="5">
        <f>IF(OR(F86="",E86=0),"",F86/E86-1)</f>
        <v/>
      </c>
    </row>
    <row r="87">
      <c r="A87" s="4" t="inlineStr">
        <is>
          <t>detail.EZDK Flat.stage2.consumption.electricity_kwh</t>
        </is>
      </c>
      <c r="B87" s="4" t="inlineStr">
        <is>
          <t>EZDK Flat</t>
        </is>
      </c>
      <c r="C87" s="4" t="inlineStr">
        <is>
          <t>stage2 · consumption · electricity kwh</t>
        </is>
      </c>
      <c r="D87" s="4" t="inlineStr"/>
      <c r="E87" s="4" t="n">
        <v>5.383879813734355</v>
      </c>
      <c r="F87" s="4" t="n"/>
      <c r="G87" s="5">
        <f>IF(OR(F87="",E87=0),"",F87/E87-1)</f>
        <v/>
      </c>
    </row>
    <row r="88">
      <c r="A88" s="4" t="inlineStr">
        <is>
          <t>detail.EZDK Flat.stage2.consumption.natural_gas_nm3</t>
        </is>
      </c>
      <c r="B88" s="4" t="inlineStr">
        <is>
          <t>EZDK Flat</t>
        </is>
      </c>
      <c r="C88" s="4" t="inlineStr">
        <is>
          <t>stage2 · consumption · natural gas nm3</t>
        </is>
      </c>
      <c r="D88" s="4" t="inlineStr"/>
      <c r="E88" s="4" t="n">
        <v>6.704507451126505</v>
      </c>
      <c r="F88" s="4" t="n"/>
      <c r="G88" s="5">
        <f>IF(OR(F88="",E88=0),"",F88/E88-1)</f>
        <v/>
      </c>
    </row>
    <row r="89">
      <c r="A89" s="4" t="inlineStr">
        <is>
          <t>detail.EZDK Flat.stage2.consumption.water_m3</t>
        </is>
      </c>
      <c r="B89" s="4" t="inlineStr">
        <is>
          <t>EZDK Flat</t>
        </is>
      </c>
      <c r="C89" s="4" t="inlineStr">
        <is>
          <t>stage2 · consumption · water m3</t>
        </is>
      </c>
      <c r="D89" s="4" t="inlineStr"/>
      <c r="E89" s="4" t="n">
        <v>0.4983862928209065</v>
      </c>
      <c r="F89" s="4" t="n"/>
      <c r="G89" s="5">
        <f>IF(OR(F89="",E89=0),"",F89/E89-1)</f>
        <v/>
      </c>
    </row>
    <row r="90">
      <c r="A90" s="4" t="inlineStr">
        <is>
          <t>detail.EZDK Flat.stage2.consumption.oxygen_nm3</t>
        </is>
      </c>
      <c r="B90" s="4" t="inlineStr">
        <is>
          <t>EZDK Flat</t>
        </is>
      </c>
      <c r="C90" s="4" t="inlineStr">
        <is>
          <t>stage2 · consumption · oxygen nm3</t>
        </is>
      </c>
      <c r="D90" s="4" t="inlineStr"/>
      <c r="E90" s="4" t="n">
        <v>3.481301525239457</v>
      </c>
      <c r="F90" s="4" t="n"/>
      <c r="G90" s="5">
        <f>IF(OR(F90="",E90=0),"",F90/E90-1)</f>
        <v/>
      </c>
    </row>
    <row r="91">
      <c r="A91" s="4" t="inlineStr">
        <is>
          <t>detail.EZDK Flat.stage2.consumption.nitrogen_nm3</t>
        </is>
      </c>
      <c r="B91" s="4" t="inlineStr">
        <is>
          <t>EZDK Flat</t>
        </is>
      </c>
      <c r="C91" s="4" t="inlineStr">
        <is>
          <t>stage2 · consumption · nitrogen nm3</t>
        </is>
      </c>
      <c r="D91" s="4" t="inlineStr"/>
      <c r="E91" s="4" t="n">
        <v>0</v>
      </c>
      <c r="F91" s="4" t="n"/>
      <c r="G91" s="5">
        <f>IF(OR(F91="",E91=0),"",F91/E91-1)</f>
        <v/>
      </c>
    </row>
    <row r="92">
      <c r="A92" s="4" t="inlineStr">
        <is>
          <t>detail.EZDK Flat.stage2.consumption.argon_nm3</t>
        </is>
      </c>
      <c r="B92" s="4" t="inlineStr">
        <is>
          <t>EZDK Flat</t>
        </is>
      </c>
      <c r="C92" s="4" t="inlineStr">
        <is>
          <t>stage2 · consumption · argon nm3</t>
        </is>
      </c>
      <c r="D92" s="4" t="inlineStr"/>
      <c r="E92" s="4" t="n">
        <v>0.0007121962353565979</v>
      </c>
      <c r="F92" s="4" t="n"/>
      <c r="G92" s="5">
        <f>IF(OR(F92="",E92=0),"",F92/E92-1)</f>
        <v/>
      </c>
    </row>
    <row r="93">
      <c r="A93" s="4" t="inlineStr">
        <is>
          <t>detail.EZDK Flat.stage2.prices_usd.byproduct_t</t>
        </is>
      </c>
      <c r="B93" s="4" t="inlineStr">
        <is>
          <t>EZDK Flat</t>
        </is>
      </c>
      <c r="C93" s="4" t="inlineStr">
        <is>
          <t>stage2 · prices usd · byproduct t</t>
        </is>
      </c>
      <c r="D93" s="4" t="inlineStr"/>
      <c r="E93" s="4" t="n">
        <v>350.2890647211095</v>
      </c>
      <c r="F93" s="4" t="n"/>
      <c r="G93" s="5">
        <f>IF(OR(F93="",E93=0),"",F93/E93-1)</f>
        <v/>
      </c>
    </row>
    <row r="94">
      <c r="A94" s="4" t="inlineStr">
        <is>
          <t>detail.EZDK Flat.stage2.prices_usd.aux_materials_kg</t>
        </is>
      </c>
      <c r="B94" s="4" t="inlineStr">
        <is>
          <t>EZDK Flat</t>
        </is>
      </c>
      <c r="C94" s="4" t="inlineStr">
        <is>
          <t>stage2 · prices usd · aux materials kg</t>
        </is>
      </c>
      <c r="D94" s="4" t="inlineStr"/>
      <c r="E94" s="4" t="n">
        <v>559.92857142857</v>
      </c>
      <c r="F94" s="4" t="n"/>
      <c r="G94" s="5">
        <f>IF(OR(F94="",E94=0),"",F94/E94-1)</f>
        <v/>
      </c>
    </row>
    <row r="95">
      <c r="A95" s="4" t="inlineStr">
        <is>
          <t>detail.EZDK Flat.stage2.prices_usd.refractories_kg</t>
        </is>
      </c>
      <c r="B95" s="4" t="inlineStr">
        <is>
          <t>EZDK Flat</t>
        </is>
      </c>
      <c r="C95" s="4" t="inlineStr">
        <is>
          <t>stage2 · prices usd · refractories kg</t>
        </is>
      </c>
      <c r="D95" s="4" t="inlineStr"/>
      <c r="E95" s="4" t="n">
        <v>1013.865248420822</v>
      </c>
      <c r="F95" s="4" t="n"/>
      <c r="G95" s="5">
        <f>IF(OR(F95="",E95=0),"",F95/E95-1)</f>
        <v/>
      </c>
    </row>
    <row r="96">
      <c r="A96" s="4" t="inlineStr">
        <is>
          <t>detail.EZDK Flat.stage2.prices_usd.natural_gas_nm3</t>
        </is>
      </c>
      <c r="B96" s="4" t="inlineStr">
        <is>
          <t>EZDK Flat</t>
        </is>
      </c>
      <c r="C96" s="4" t="inlineStr">
        <is>
          <t>stage2 · prices usd · natural gas nm3</t>
        </is>
      </c>
      <c r="D96" s="4" t="inlineStr"/>
      <c r="E96" s="4" t="n">
        <v>0.250724642126514</v>
      </c>
      <c r="F96" s="4" t="n"/>
      <c r="G96" s="5">
        <f>IF(OR(F96="",E96=0),"",F96/E96-1)</f>
        <v/>
      </c>
    </row>
    <row r="97">
      <c r="A97" s="4" t="inlineStr">
        <is>
          <t>detail.EZDK Flat.stage2.prices_usd.water_m3</t>
        </is>
      </c>
      <c r="B97" s="4" t="inlineStr">
        <is>
          <t>EZDK Flat</t>
        </is>
      </c>
      <c r="C97" s="4" t="inlineStr">
        <is>
          <t>stage2 · prices usd · water m3</t>
        </is>
      </c>
      <c r="D97" s="4" t="inlineStr"/>
      <c r="E97" s="4" t="n">
        <v>0.2716395510654938</v>
      </c>
      <c r="F97" s="4" t="n"/>
      <c r="G97" s="5">
        <f>IF(OR(F97="",E97=0),"",F97/E97-1)</f>
        <v/>
      </c>
    </row>
    <row r="98">
      <c r="A98" s="4" t="inlineStr">
        <is>
          <t>detail.EZDK Flat.stage2.prices_usd.oxygen_nm3</t>
        </is>
      </c>
      <c r="B98" s="4" t="inlineStr">
        <is>
          <t>EZDK Flat</t>
        </is>
      </c>
      <c r="C98" s="4" t="inlineStr">
        <is>
          <t>stage2 · prices usd · oxygen nm3</t>
        </is>
      </c>
      <c r="D98" s="4" t="inlineStr"/>
      <c r="E98" s="4" t="n">
        <v>0.1716647463083416</v>
      </c>
      <c r="F98" s="4" t="n"/>
      <c r="G98" s="5">
        <f>IF(OR(F98="",E98=0),"",F98/E98-1)</f>
        <v/>
      </c>
    </row>
    <row r="99">
      <c r="A99" s="4" t="inlineStr">
        <is>
          <t>detail.EZDK Flat.stage2.prices_usd.nitrogen_nm3</t>
        </is>
      </c>
      <c r="B99" s="4" t="inlineStr">
        <is>
          <t>EZDK Flat</t>
        </is>
      </c>
      <c r="C99" s="4" t="inlineStr">
        <is>
          <t>stage2 · prices usd · nitrogen nm3</t>
        </is>
      </c>
      <c r="D99" s="4" t="inlineStr"/>
      <c r="E99" s="4" t="n">
        <v>0</v>
      </c>
      <c r="F99" s="4" t="n"/>
      <c r="G99" s="5">
        <f>IF(OR(F99="",E99=0),"",F99/E99-1)</f>
        <v/>
      </c>
    </row>
    <row r="100">
      <c r="A100" s="4" t="inlineStr">
        <is>
          <t>detail.EZDK Flat.stage2.prices_usd.argon_nm3</t>
        </is>
      </c>
      <c r="B100" s="4" t="inlineStr">
        <is>
          <t>EZDK Flat</t>
        </is>
      </c>
      <c r="C100" s="4" t="inlineStr">
        <is>
          <t>stage2 · prices usd · argon nm3</t>
        </is>
      </c>
      <c r="D100" s="4" t="inlineStr"/>
      <c r="E100" s="4" t="n">
        <v>1.928367316863704</v>
      </c>
      <c r="F100" s="4" t="n"/>
      <c r="G100" s="5">
        <f>IF(OR(F100="",E100=0),"",F100/E100-1)</f>
        <v/>
      </c>
    </row>
    <row r="101">
      <c r="A101" s="4" t="inlineStr">
        <is>
          <t>detail.EZDK Flat.stage3.feed_share.produced</t>
        </is>
      </c>
      <c r="B101" s="4" t="inlineStr">
        <is>
          <t>EZDK Flat</t>
        </is>
      </c>
      <c r="C101" s="4" t="inlineStr">
        <is>
          <t>stage3 · feed share · produced</t>
        </is>
      </c>
      <c r="D101" s="4" t="inlineStr"/>
      <c r="E101" s="4" t="n">
        <v>1</v>
      </c>
      <c r="F101" s="4" t="n"/>
      <c r="G101" s="5">
        <f>IF(OR(F101="",E101=0),"",F101/E101-1)</f>
        <v/>
      </c>
    </row>
    <row r="102">
      <c r="A102" s="4" t="inlineStr">
        <is>
          <t>detail.EZDK Flat.stage3.feed_share.local</t>
        </is>
      </c>
      <c r="B102" s="4" t="inlineStr">
        <is>
          <t>EZDK Flat</t>
        </is>
      </c>
      <c r="C102" s="4" t="inlineStr">
        <is>
          <t>stage3 · feed share · local</t>
        </is>
      </c>
      <c r="D102" s="4" t="inlineStr"/>
      <c r="E102" s="4" t="n">
        <v>0</v>
      </c>
      <c r="F102" s="4" t="n"/>
      <c r="G102" s="5">
        <f>IF(OR(F102="",E102=0),"",F102/E102-1)</f>
        <v/>
      </c>
    </row>
    <row r="103">
      <c r="A103" s="4" t="inlineStr">
        <is>
          <t>detail.EZDK Flat.stage3.feed_share.imported</t>
        </is>
      </c>
      <c r="B103" s="4" t="inlineStr">
        <is>
          <t>EZDK Flat</t>
        </is>
      </c>
      <c r="C103" s="4" t="inlineStr">
        <is>
          <t>stage3 · feed share · imported</t>
        </is>
      </c>
      <c r="D103" s="4" t="inlineStr"/>
      <c r="E103" s="4" t="n">
        <v>0</v>
      </c>
      <c r="F103" s="4" t="n"/>
      <c r="G103" s="5">
        <f>IF(OR(F103="",E103=0),"",F103/E103-1)</f>
        <v/>
      </c>
    </row>
    <row r="104">
      <c r="A104" s="4" t="inlineStr">
        <is>
          <t>detail.EZDK Flat.stage3.byproduct_pct_of_feed</t>
        </is>
      </c>
      <c r="B104" s="4" t="inlineStr">
        <is>
          <t>EZDK Flat</t>
        </is>
      </c>
      <c r="C104" s="4" t="inlineStr">
        <is>
          <t>stage3 · byproduct pct of feed</t>
        </is>
      </c>
      <c r="D104" s="4" t="inlineStr"/>
      <c r="E104" s="4" t="n">
        <v>-0.0429671824854594</v>
      </c>
      <c r="F104" s="4" t="n"/>
      <c r="G104" s="5">
        <f>IF(OR(F104="",E104=0),"",F104/E104-1)</f>
        <v/>
      </c>
    </row>
    <row r="105">
      <c r="A105" s="4" t="inlineStr">
        <is>
          <t>detail.EZDK Flat.stage3.consumption.refractories_kg</t>
        </is>
      </c>
      <c r="B105" s="4" t="inlineStr">
        <is>
          <t>EZDK Flat</t>
        </is>
      </c>
      <c r="C105" s="4" t="inlineStr">
        <is>
          <t>stage3 · consumption · refractories kg</t>
        </is>
      </c>
      <c r="D105" s="4" t="inlineStr"/>
      <c r="E105" s="4" t="n">
        <v>0.7184245777221193</v>
      </c>
      <c r="F105" s="4" t="n"/>
      <c r="G105" s="5">
        <f>IF(OR(F105="",E105=0),"",F105/E105-1)</f>
        <v/>
      </c>
    </row>
    <row r="106">
      <c r="A106" s="4" t="inlineStr">
        <is>
          <t>detail.EZDK Flat.stage3.consumption.electricity_kwh</t>
        </is>
      </c>
      <c r="B106" s="4" t="inlineStr">
        <is>
          <t>EZDK Flat</t>
        </is>
      </c>
      <c r="C106" s="4" t="inlineStr">
        <is>
          <t>stage3 · consumption · electricity kwh</t>
        </is>
      </c>
      <c r="D106" s="4" t="inlineStr"/>
      <c r="E106" s="4" t="n">
        <v>99.81222249827461</v>
      </c>
      <c r="F106" s="4" t="n"/>
      <c r="G106" s="5">
        <f>IF(OR(F106="",E106=0),"",F106/E106-1)</f>
        <v/>
      </c>
    </row>
    <row r="107">
      <c r="A107" s="4" t="inlineStr">
        <is>
          <t>detail.EZDK Flat.stage3.consumption.natural_gas_nm3</t>
        </is>
      </c>
      <c r="B107" s="4" t="inlineStr">
        <is>
          <t>EZDK Flat</t>
        </is>
      </c>
      <c r="C107" s="4" t="inlineStr">
        <is>
          <t>stage3 · consumption · natural gas nm3</t>
        </is>
      </c>
      <c r="D107" s="4" t="inlineStr"/>
      <c r="E107" s="4" t="n">
        <v>31.71842905583779</v>
      </c>
      <c r="F107" s="4" t="n"/>
      <c r="G107" s="5">
        <f>IF(OR(F107="",E107=0),"",F107/E107-1)</f>
        <v/>
      </c>
    </row>
    <row r="108">
      <c r="A108" s="4" t="inlineStr">
        <is>
          <t>detail.EZDK Flat.stage3.consumption.water_m3</t>
        </is>
      </c>
      <c r="B108" s="4" t="inlineStr">
        <is>
          <t>EZDK Flat</t>
        </is>
      </c>
      <c r="C108" s="4" t="inlineStr">
        <is>
          <t>stage3 · consumption · water m3</t>
        </is>
      </c>
      <c r="D108" s="4" t="inlineStr"/>
      <c r="E108" s="4" t="n">
        <v>0.4527712000215207</v>
      </c>
      <c r="F108" s="4" t="n"/>
      <c r="G108" s="5">
        <f>IF(OR(F108="",E108=0),"",F108/E108-1)</f>
        <v/>
      </c>
    </row>
    <row r="109">
      <c r="A109" s="4" t="inlineStr">
        <is>
          <t>detail.EZDK Flat.stage3.consumption.work_roll_units</t>
        </is>
      </c>
      <c r="B109" s="4" t="inlineStr">
        <is>
          <t>EZDK Flat</t>
        </is>
      </c>
      <c r="C109" s="4" t="inlineStr">
        <is>
          <t>stage3 · consumption · work roll units</t>
        </is>
      </c>
      <c r="D109" s="4" t="inlineStr"/>
      <c r="E109" s="4" t="n">
        <v>1</v>
      </c>
      <c r="F109" s="4" t="n"/>
      <c r="G109" s="5">
        <f>IF(OR(F109="",E109=0),"",F109/E109-1)</f>
        <v/>
      </c>
    </row>
    <row r="110">
      <c r="A110" s="4" t="inlineStr">
        <is>
          <t>detail.EZDK Flat.stage3.prices_usd.local_feed_t</t>
        </is>
      </c>
      <c r="B110" s="4" t="inlineStr">
        <is>
          <t>EZDK Flat</t>
        </is>
      </c>
      <c r="C110" s="4" t="inlineStr">
        <is>
          <t>stage3 · prices usd · local feed t</t>
        </is>
      </c>
      <c r="D110" s="4" t="inlineStr"/>
      <c r="E110" s="4" t="n">
        <v>0</v>
      </c>
      <c r="F110" s="4" t="n"/>
      <c r="G110" s="5">
        <f>IF(OR(F110="",E110=0),"",F110/E110-1)</f>
        <v/>
      </c>
    </row>
    <row r="111">
      <c r="A111" s="4" t="inlineStr">
        <is>
          <t>detail.EZDK Flat.stage3.prices_usd.imported_feed_t</t>
        </is>
      </c>
      <c r="B111" s="4" t="inlineStr">
        <is>
          <t>EZDK Flat</t>
        </is>
      </c>
      <c r="C111" s="4" t="inlineStr">
        <is>
          <t>stage3 · prices usd · imported feed t</t>
        </is>
      </c>
      <c r="D111" s="4" t="inlineStr"/>
      <c r="E111" s="4" t="n">
        <v>0</v>
      </c>
      <c r="F111" s="4" t="n"/>
      <c r="G111" s="5">
        <f>IF(OR(F111="",E111=0),"",F111/E111-1)</f>
        <v/>
      </c>
    </row>
    <row r="112">
      <c r="A112" s="4" t="inlineStr">
        <is>
          <t>detail.EZDK Flat.stage3.prices_usd.byproduct_t</t>
        </is>
      </c>
      <c r="B112" s="4" t="inlineStr">
        <is>
          <t>EZDK Flat</t>
        </is>
      </c>
      <c r="C112" s="4" t="inlineStr">
        <is>
          <t>stage3 · prices usd · byproduct t</t>
        </is>
      </c>
      <c r="D112" s="4" t="inlineStr"/>
      <c r="E112" s="4" t="n">
        <v>350.580539114885</v>
      </c>
      <c r="F112" s="4" t="n"/>
      <c r="G112" s="5">
        <f>IF(OR(F112="",E112=0),"",F112/E112-1)</f>
        <v/>
      </c>
    </row>
    <row r="113">
      <c r="A113" s="4" t="inlineStr">
        <is>
          <t>detail.EZDK Flat.stage3.prices_usd.refractories_kg</t>
        </is>
      </c>
      <c r="B113" s="4" t="inlineStr">
        <is>
          <t>EZDK Flat</t>
        </is>
      </c>
      <c r="C113" s="4" t="inlineStr">
        <is>
          <t>stage3 · prices usd · refractories kg</t>
        </is>
      </c>
      <c r="D113" s="4" t="inlineStr"/>
      <c r="E113" s="4" t="n">
        <v>1192.134271671135</v>
      </c>
      <c r="F113" s="4" t="n"/>
      <c r="G113" s="5">
        <f>IF(OR(F113="",E113=0),"",F113/E113-1)</f>
        <v/>
      </c>
    </row>
    <row r="114">
      <c r="A114" s="4" t="inlineStr">
        <is>
          <t>detail.EZDK Flat.stage3.prices_usd.work_roll_unit</t>
        </is>
      </c>
      <c r="B114" s="4" t="inlineStr">
        <is>
          <t>EZDK Flat</t>
        </is>
      </c>
      <c r="C114" s="4" t="inlineStr">
        <is>
          <t>stage3 · prices usd · work roll unit</t>
        </is>
      </c>
      <c r="D114" s="4" t="inlineStr"/>
      <c r="E114" s="4" t="n">
        <v>0</v>
      </c>
      <c r="F114" s="4" t="n"/>
      <c r="G114" s="5">
        <f>IF(OR(F114="",E114=0),"",F114/E114-1)</f>
        <v/>
      </c>
    </row>
    <row r="115">
      <c r="A115" s="4" t="inlineStr">
        <is>
          <t>detail.EFS Flat.stage1.blend_pct.home_scrap</t>
        </is>
      </c>
      <c r="B115" s="4" t="inlineStr">
        <is>
          <t>EFS Flat</t>
        </is>
      </c>
      <c r="C115" s="4" t="inlineStr">
        <is>
          <t>stage1 · blend pct · home scrap</t>
        </is>
      </c>
      <c r="D115" s="4" t="inlineStr">
        <is>
          <t>%</t>
        </is>
      </c>
      <c r="E115" s="4" t="n">
        <v>0</v>
      </c>
      <c r="F115" s="4" t="n"/>
      <c r="G115" s="5">
        <f>IF(OR(F115="",E115=0),"",F115/E115-1)</f>
        <v/>
      </c>
    </row>
    <row r="116">
      <c r="A116" s="4" t="inlineStr">
        <is>
          <t>detail.EFS Flat.stage1.blend_pct.pig_iron</t>
        </is>
      </c>
      <c r="B116" s="4" t="inlineStr">
        <is>
          <t>EFS Flat</t>
        </is>
      </c>
      <c r="C116" s="4" t="inlineStr">
        <is>
          <t>stage1 · blend pct · pig iron</t>
        </is>
      </c>
      <c r="D116" s="4" t="inlineStr">
        <is>
          <t>%</t>
        </is>
      </c>
      <c r="E116" s="4" t="n">
        <v>0</v>
      </c>
      <c r="F116" s="4" t="n"/>
      <c r="G116" s="5">
        <f>IF(OR(F116="",E116=0),"",F116/E116-1)</f>
        <v/>
      </c>
    </row>
    <row r="117">
      <c r="A117" s="4" t="inlineStr">
        <is>
          <t>detail.EFS Flat.stage1.byproduct_pct_of_solid_charge</t>
        </is>
      </c>
      <c r="B117" s="4" t="inlineStr">
        <is>
          <t>EFS Flat</t>
        </is>
      </c>
      <c r="C117" s="4" t="inlineStr">
        <is>
          <t>stage1 · byproduct pct of solid charge</t>
        </is>
      </c>
      <c r="D117" s="4" t="inlineStr"/>
      <c r="E117" s="4" t="n">
        <v>-0.03267341082570191</v>
      </c>
      <c r="F117" s="4" t="n"/>
      <c r="G117" s="5">
        <f>IF(OR(F117="",E117=0),"",F117/E117-1)</f>
        <v/>
      </c>
    </row>
    <row r="118">
      <c r="A118" s="4" t="inlineStr">
        <is>
          <t>detail.EFS Flat.stage1.consumption.aux_materials_kg</t>
        </is>
      </c>
      <c r="B118" s="4" t="inlineStr">
        <is>
          <t>EFS Flat</t>
        </is>
      </c>
      <c r="C118" s="4" t="inlineStr">
        <is>
          <t>stage1 · consumption · aux materials kg</t>
        </is>
      </c>
      <c r="D118" s="4" t="inlineStr"/>
      <c r="E118" s="4" t="n">
        <v>422.601588476686</v>
      </c>
      <c r="F118" s="4" t="n"/>
      <c r="G118" s="5">
        <f>IF(OR(F118="",E118=0),"",F118/E118-1)</f>
        <v/>
      </c>
    </row>
    <row r="119">
      <c r="A119" s="4" t="inlineStr">
        <is>
          <t>detail.EFS Flat.stage1.consumption.refractories_kg</t>
        </is>
      </c>
      <c r="B119" s="4" t="inlineStr">
        <is>
          <t>EFS Flat</t>
        </is>
      </c>
      <c r="C119" s="4" t="inlineStr">
        <is>
          <t>stage1 · consumption · refractories kg</t>
        </is>
      </c>
      <c r="D119" s="4" t="inlineStr"/>
      <c r="E119" s="4" t="n">
        <v>10.50859753004164</v>
      </c>
      <c r="F119" s="4" t="n"/>
      <c r="G119" s="5">
        <f>IF(OR(F119="",E119=0),"",F119/E119-1)</f>
        <v/>
      </c>
    </row>
    <row r="120">
      <c r="A120" s="4" t="inlineStr">
        <is>
          <t>detail.EFS Flat.stage1.consumption.electrodes_kg</t>
        </is>
      </c>
      <c r="B120" s="4" t="inlineStr">
        <is>
          <t>EFS Flat</t>
        </is>
      </c>
      <c r="C120" s="4" t="inlineStr">
        <is>
          <t>stage1 · consumption · electrodes kg</t>
        </is>
      </c>
      <c r="D120" s="4" t="inlineStr"/>
      <c r="E120" s="4" t="n">
        <v>2.580561715264233</v>
      </c>
      <c r="F120" s="4" t="n"/>
      <c r="G120" s="5">
        <f>IF(OR(F120="",E120=0),"",F120/E120-1)</f>
        <v/>
      </c>
    </row>
    <row r="121">
      <c r="A121" s="4" t="inlineStr">
        <is>
          <t>detail.EFS Flat.stage1.consumption.other_fillers_kg</t>
        </is>
      </c>
      <c r="B121" s="4" t="inlineStr">
        <is>
          <t>EFS Flat</t>
        </is>
      </c>
      <c r="C121" s="4" t="inlineStr">
        <is>
          <t>stage1 · consumption · other fillers kg</t>
        </is>
      </c>
      <c r="D121" s="4" t="inlineStr"/>
      <c r="E121" s="4" t="n">
        <v>1.284258610070121</v>
      </c>
      <c r="F121" s="4" t="n"/>
      <c r="G121" s="5">
        <f>IF(OR(F121="",E121=0),"",F121/E121-1)</f>
        <v/>
      </c>
    </row>
    <row r="122">
      <c r="A122" s="4" t="inlineStr">
        <is>
          <t>detail.EFS Flat.stage1.consumption.electricity_aux_kwh</t>
        </is>
      </c>
      <c r="B122" s="4" t="inlineStr">
        <is>
          <t>EFS Flat</t>
        </is>
      </c>
      <c r="C122" s="4" t="inlineStr">
        <is>
          <t>stage1 · consumption · electricity aux kwh</t>
        </is>
      </c>
      <c r="D122" s="4" t="inlineStr"/>
      <c r="E122" s="4" t="n">
        <v>239.7153886980133</v>
      </c>
      <c r="F122" s="4" t="n"/>
      <c r="G122" s="5">
        <f>IF(OR(F122="",E122=0),"",F122/E122-1)</f>
        <v/>
      </c>
    </row>
    <row r="123">
      <c r="A123" s="4" t="inlineStr">
        <is>
          <t>detail.EFS Flat.stage1.consumption.natural_gas_nm3</t>
        </is>
      </c>
      <c r="B123" s="4" t="inlineStr">
        <is>
          <t>EFS Flat</t>
        </is>
      </c>
      <c r="C123" s="4" t="inlineStr">
        <is>
          <t>stage1 · consumption · natural gas nm3</t>
        </is>
      </c>
      <c r="D123" s="4" t="inlineStr"/>
      <c r="E123" s="4" t="n">
        <v>14.59305401382995</v>
      </c>
      <c r="F123" s="4" t="n"/>
      <c r="G123" s="5">
        <f>IF(OR(F123="",E123=0),"",F123/E123-1)</f>
        <v/>
      </c>
    </row>
    <row r="124">
      <c r="A124" s="4" t="inlineStr">
        <is>
          <t>detail.EFS Flat.stage1.consumption.water_m3</t>
        </is>
      </c>
      <c r="B124" s="4" t="inlineStr">
        <is>
          <t>EFS Flat</t>
        </is>
      </c>
      <c r="C124" s="4" t="inlineStr">
        <is>
          <t>stage1 · consumption · water m3</t>
        </is>
      </c>
      <c r="D124" s="4" t="inlineStr"/>
      <c r="E124" s="4" t="n">
        <v>1.548884036771966</v>
      </c>
      <c r="F124" s="4" t="n"/>
      <c r="G124" s="5">
        <f>IF(OR(F124="",E124=0),"",F124/E124-1)</f>
        <v/>
      </c>
    </row>
    <row r="125">
      <c r="A125" s="4" t="inlineStr">
        <is>
          <t>detail.EFS Flat.stage1.consumption.oxygen_nm3</t>
        </is>
      </c>
      <c r="B125" s="4" t="inlineStr">
        <is>
          <t>EFS Flat</t>
        </is>
      </c>
      <c r="C125" s="4" t="inlineStr">
        <is>
          <t>stage1 · consumption · oxygen nm3</t>
        </is>
      </c>
      <c r="D125" s="4" t="inlineStr"/>
      <c r="E125" s="4" t="n">
        <v>34.79748753864489</v>
      </c>
      <c r="F125" s="4" t="n"/>
      <c r="G125" s="5">
        <f>IF(OR(F125="",E125=0),"",F125/E125-1)</f>
        <v/>
      </c>
    </row>
    <row r="126">
      <c r="A126" s="4" t="inlineStr">
        <is>
          <t>detail.EFS Flat.stage1.consumption.nitrogen_nm3</t>
        </is>
      </c>
      <c r="B126" s="4" t="inlineStr">
        <is>
          <t>EFS Flat</t>
        </is>
      </c>
      <c r="C126" s="4" t="inlineStr">
        <is>
          <t>stage1 · consumption · nitrogen nm3</t>
        </is>
      </c>
      <c r="D126" s="4" t="inlineStr"/>
      <c r="E126" s="4" t="n">
        <v>4.086498118550487</v>
      </c>
      <c r="F126" s="4" t="n"/>
      <c r="G126" s="5">
        <f>IF(OR(F126="",E126=0),"",F126/E126-1)</f>
        <v/>
      </c>
    </row>
    <row r="127">
      <c r="A127" s="4" t="inlineStr">
        <is>
          <t>detail.EFS Flat.stage1.consumption.argon_nm3</t>
        </is>
      </c>
      <c r="B127" s="4" t="inlineStr">
        <is>
          <t>EFS Flat</t>
        </is>
      </c>
      <c r="C127" s="4" t="inlineStr">
        <is>
          <t>stage1 · consumption · argon nm3</t>
        </is>
      </c>
      <c r="D127" s="4" t="inlineStr"/>
      <c r="E127" s="4" t="n">
        <v>0.3045588411940751</v>
      </c>
      <c r="F127" s="4" t="n"/>
      <c r="G127" s="5">
        <f>IF(OR(F127="",E127=0),"",F127/E127-1)</f>
        <v/>
      </c>
    </row>
    <row r="128">
      <c r="A128" s="4" t="inlineStr">
        <is>
          <t>detail.EFS Flat.stage1.consumption.handling_kg</t>
        </is>
      </c>
      <c r="B128" s="4" t="inlineStr">
        <is>
          <t>EFS Flat</t>
        </is>
      </c>
      <c r="C128" s="4" t="inlineStr">
        <is>
          <t>stage1 · consumption · handling kg</t>
        </is>
      </c>
      <c r="D128" s="4" t="inlineStr"/>
      <c r="E128" s="4" t="n">
        <v>0.9868461249466488</v>
      </c>
      <c r="F128" s="4" t="n"/>
      <c r="G128" s="5">
        <f>IF(OR(F128="",E128=0),"",F128/E128-1)</f>
        <v/>
      </c>
    </row>
    <row r="129">
      <c r="A129" s="4" t="inlineStr">
        <is>
          <t>detail.EFS Flat.stage1.consumption.cutting_kg</t>
        </is>
      </c>
      <c r="B129" s="4" t="inlineStr">
        <is>
          <t>EFS Flat</t>
        </is>
      </c>
      <c r="C129" s="4" t="inlineStr">
        <is>
          <t>stage1 · consumption · cutting kg</t>
        </is>
      </c>
      <c r="D129" s="4" t="inlineStr"/>
      <c r="E129" s="4" t="n">
        <v>0</v>
      </c>
      <c r="F129" s="4" t="n"/>
      <c r="G129" s="5">
        <f>IF(OR(F129="",E129=0),"",F129/E129-1)</f>
        <v/>
      </c>
    </row>
    <row r="130">
      <c r="A130" s="4" t="inlineStr">
        <is>
          <t>detail.EFS Flat.stage1.prices_usd.home_scrap_t</t>
        </is>
      </c>
      <c r="B130" s="4" t="inlineStr">
        <is>
          <t>EFS Flat</t>
        </is>
      </c>
      <c r="C130" s="4" t="inlineStr">
        <is>
          <t>stage1 · prices usd · home scrap t</t>
        </is>
      </c>
      <c r="D130" s="4" t="inlineStr"/>
      <c r="E130" s="4" t="n">
        <v>0</v>
      </c>
      <c r="F130" s="4" t="n"/>
      <c r="G130" s="5">
        <f>IF(OR(F130="",E130=0),"",F130/E130-1)</f>
        <v/>
      </c>
    </row>
    <row r="131">
      <c r="A131" s="4" t="inlineStr">
        <is>
          <t>detail.EFS Flat.stage1.prices_usd.pig_iron_t</t>
        </is>
      </c>
      <c r="B131" s="4" t="inlineStr">
        <is>
          <t>EFS Flat</t>
        </is>
      </c>
      <c r="C131" s="4" t="inlineStr">
        <is>
          <t>stage1 · prices usd · pig iron t</t>
        </is>
      </c>
      <c r="D131" s="4" t="inlineStr"/>
      <c r="E131" s="4" t="n">
        <v>0</v>
      </c>
      <c r="F131" s="4" t="n"/>
      <c r="G131" s="5">
        <f>IF(OR(F131="",E131=0),"",F131/E131-1)</f>
        <v/>
      </c>
    </row>
    <row r="132">
      <c r="A132" s="4" t="inlineStr">
        <is>
          <t>detail.EFS Flat.stage1.prices_usd.byproduct_t</t>
        </is>
      </c>
      <c r="B132" s="4" t="inlineStr">
        <is>
          <t>EFS Flat</t>
        </is>
      </c>
      <c r="C132" s="4" t="inlineStr">
        <is>
          <t>stage1 · prices usd · byproduct t</t>
        </is>
      </c>
      <c r="D132" s="4" t="inlineStr"/>
      <c r="E132" s="4" t="n">
        <v>352.5046788787349</v>
      </c>
      <c r="F132" s="4" t="n"/>
      <c r="G132" s="5">
        <f>IF(OR(F132="",E132=0),"",F132/E132-1)</f>
        <v/>
      </c>
    </row>
    <row r="133">
      <c r="A133" s="4" t="inlineStr">
        <is>
          <t>detail.EFS Flat.stage1.prices_usd.aux_materials_kg</t>
        </is>
      </c>
      <c r="B133" s="4" t="inlineStr">
        <is>
          <t>EFS Flat</t>
        </is>
      </c>
      <c r="C133" s="4" t="inlineStr">
        <is>
          <t>stage1 · prices usd · aux materials kg</t>
        </is>
      </c>
      <c r="D133" s="4" t="inlineStr"/>
      <c r="E133" s="4" t="n">
        <v>83.69553072171487</v>
      </c>
      <c r="F133" s="4" t="n"/>
      <c r="G133" s="5">
        <f>IF(OR(F133="",E133=0),"",F133/E133-1)</f>
        <v/>
      </c>
    </row>
    <row r="134">
      <c r="A134" s="4" t="inlineStr">
        <is>
          <t>detail.EFS Flat.stage1.prices_usd.refractories_kg</t>
        </is>
      </c>
      <c r="B134" s="4" t="inlineStr">
        <is>
          <t>EFS Flat</t>
        </is>
      </c>
      <c r="C134" s="4" t="inlineStr">
        <is>
          <t>stage1 · prices usd · refractories kg</t>
        </is>
      </c>
      <c r="D134" s="4" t="inlineStr"/>
      <c r="E134" s="4" t="n">
        <v>1295.964767040459</v>
      </c>
      <c r="F134" s="4" t="n"/>
      <c r="G134" s="5">
        <f>IF(OR(F134="",E134=0),"",F134/E134-1)</f>
        <v/>
      </c>
    </row>
    <row r="135">
      <c r="A135" s="4" t="inlineStr">
        <is>
          <t>detail.EFS Flat.stage1.prices_usd.electrodes_kg</t>
        </is>
      </c>
      <c r="B135" s="4" t="inlineStr">
        <is>
          <t>EFS Flat</t>
        </is>
      </c>
      <c r="C135" s="4" t="inlineStr">
        <is>
          <t>stage1 · prices usd · electrodes kg</t>
        </is>
      </c>
      <c r="D135" s="4" t="inlineStr"/>
      <c r="E135" s="4" t="n">
        <v>6438.550026282481</v>
      </c>
      <c r="F135" s="4" t="n"/>
      <c r="G135" s="5">
        <f>IF(OR(F135="",E135=0),"",F135/E135-1)</f>
        <v/>
      </c>
    </row>
    <row r="136">
      <c r="A136" s="4" t="inlineStr">
        <is>
          <t>detail.EFS Flat.stage1.prices_usd.other_fillers_kg</t>
        </is>
      </c>
      <c r="B136" s="4" t="inlineStr">
        <is>
          <t>EFS Flat</t>
        </is>
      </c>
      <c r="C136" s="4" t="inlineStr">
        <is>
          <t>stage1 · prices usd · other fillers kg</t>
        </is>
      </c>
      <c r="D136" s="4" t="inlineStr"/>
      <c r="E136" s="4" t="n">
        <v>257.329784432117</v>
      </c>
      <c r="F136" s="4" t="n"/>
      <c r="G136" s="5">
        <f>IF(OR(F136="",E136=0),"",F136/E136-1)</f>
        <v/>
      </c>
    </row>
    <row r="137">
      <c r="A137" s="4" t="inlineStr">
        <is>
          <t>detail.EFS Flat.stage1.prices_usd.natural_gas_nm3</t>
        </is>
      </c>
      <c r="B137" s="4" t="inlineStr">
        <is>
          <t>EFS Flat</t>
        </is>
      </c>
      <c r="C137" s="4" t="inlineStr">
        <is>
          <t>stage1 · prices usd · natural gas nm3</t>
        </is>
      </c>
      <c r="D137" s="4" t="inlineStr"/>
      <c r="E137" s="4" t="n">
        <v>0.250724642126514</v>
      </c>
      <c r="F137" s="4" t="n"/>
      <c r="G137" s="5">
        <f>IF(OR(F137="",E137=0),"",F137/E137-1)</f>
        <v/>
      </c>
    </row>
    <row r="138">
      <c r="A138" s="4" t="inlineStr">
        <is>
          <t>detail.EFS Flat.stage1.prices_usd.water_m3</t>
        </is>
      </c>
      <c r="B138" s="4" t="inlineStr">
        <is>
          <t>EFS Flat</t>
        </is>
      </c>
      <c r="C138" s="4" t="inlineStr">
        <is>
          <t>stage1 · prices usd · water m3</t>
        </is>
      </c>
      <c r="D138" s="4" t="inlineStr"/>
      <c r="E138" s="4" t="n">
        <v>0.2716395510654938</v>
      </c>
      <c r="F138" s="4" t="n"/>
      <c r="G138" s="5">
        <f>IF(OR(F138="",E138=0),"",F138/E138-1)</f>
        <v/>
      </c>
    </row>
    <row r="139">
      <c r="A139" s="4" t="inlineStr">
        <is>
          <t>detail.EFS Flat.stage1.prices_usd.oxygen_nm3</t>
        </is>
      </c>
      <c r="B139" s="4" t="inlineStr">
        <is>
          <t>EFS Flat</t>
        </is>
      </c>
      <c r="C139" s="4" t="inlineStr">
        <is>
          <t>stage1 · prices usd · oxygen nm3</t>
        </is>
      </c>
      <c r="D139" s="4" t="inlineStr"/>
      <c r="E139" s="4" t="n">
        <v>0.1716647463083416</v>
      </c>
      <c r="F139" s="4" t="n"/>
      <c r="G139" s="5">
        <f>IF(OR(F139="",E139=0),"",F139/E139-1)</f>
        <v/>
      </c>
    </row>
    <row r="140">
      <c r="A140" s="4" t="inlineStr">
        <is>
          <t>detail.EFS Flat.stage1.prices_usd.nitrogen_nm3</t>
        </is>
      </c>
      <c r="B140" s="4" t="inlineStr">
        <is>
          <t>EFS Flat</t>
        </is>
      </c>
      <c r="C140" s="4" t="inlineStr">
        <is>
          <t>stage1 · prices usd · nitrogen nm3</t>
        </is>
      </c>
      <c r="D140" s="4" t="inlineStr"/>
      <c r="E140" s="4" t="n">
        <v>0.1716647463083416</v>
      </c>
      <c r="F140" s="4" t="n"/>
      <c r="G140" s="5">
        <f>IF(OR(F140="",E140=0),"",F140/E140-1)</f>
        <v/>
      </c>
    </row>
    <row r="141">
      <c r="A141" s="4" t="inlineStr">
        <is>
          <t>detail.EFS Flat.stage1.prices_usd.argon_nm3</t>
        </is>
      </c>
      <c r="B141" s="4" t="inlineStr">
        <is>
          <t>EFS Flat</t>
        </is>
      </c>
      <c r="C141" s="4" t="inlineStr">
        <is>
          <t>stage1 · prices usd · argon nm3</t>
        </is>
      </c>
      <c r="D141" s="4" t="inlineStr"/>
      <c r="E141" s="4" t="n">
        <v>1.928367316863704</v>
      </c>
      <c r="F141" s="4" t="n"/>
      <c r="G141" s="5">
        <f>IF(OR(F141="",E141=0),"",F141/E141-1)</f>
        <v/>
      </c>
    </row>
    <row r="142">
      <c r="A142" s="4" t="inlineStr">
        <is>
          <t>detail.EFS Flat.stage1.prices_usd.handling_t</t>
        </is>
      </c>
      <c r="B142" s="4" t="inlineStr">
        <is>
          <t>EFS Flat</t>
        </is>
      </c>
      <c r="C142" s="4" t="inlineStr">
        <is>
          <t>stage1 · prices usd · handling t</t>
        </is>
      </c>
      <c r="D142" s="4" t="inlineStr"/>
      <c r="E142" s="4" t="n">
        <v>11.9200729825991</v>
      </c>
      <c r="F142" s="4" t="n"/>
      <c r="G142" s="5">
        <f>IF(OR(F142="",E142=0),"",F142/E142-1)</f>
        <v/>
      </c>
    </row>
    <row r="143">
      <c r="A143" s="4" t="inlineStr">
        <is>
          <t>detail.EFS Flat.stage1.prices_usd.cutting_t</t>
        </is>
      </c>
      <c r="B143" s="4" t="inlineStr">
        <is>
          <t>EFS Flat</t>
        </is>
      </c>
      <c r="C143" s="4" t="inlineStr">
        <is>
          <t>stage1 · prices usd · cutting t</t>
        </is>
      </c>
      <c r="D143" s="4" t="inlineStr"/>
      <c r="E143" s="4" t="n">
        <v>0</v>
      </c>
      <c r="F143" s="4" t="n"/>
      <c r="G143" s="5">
        <f>IF(OR(F143="",E143=0),"",F143/E143-1)</f>
        <v/>
      </c>
    </row>
    <row r="144">
      <c r="A144" s="4" t="inlineStr">
        <is>
          <t>detail.EFS Flat.stage2.byproduct_pct_of_molten_steel</t>
        </is>
      </c>
      <c r="B144" s="4" t="inlineStr">
        <is>
          <t>EFS Flat</t>
        </is>
      </c>
      <c r="C144" s="4" t="inlineStr">
        <is>
          <t>stage2 · byproduct pct of molten steel</t>
        </is>
      </c>
      <c r="D144" s="4" t="inlineStr"/>
      <c r="E144" s="4" t="n">
        <v>-0.002631984726906559</v>
      </c>
      <c r="F144" s="4" t="n"/>
      <c r="G144" s="5">
        <f>IF(OR(F144="",E144=0),"",F144/E144-1)</f>
        <v/>
      </c>
    </row>
    <row r="145">
      <c r="A145" s="4" t="inlineStr">
        <is>
          <t>detail.EFS Flat.stage2.consumption.aux_materials_kg</t>
        </is>
      </c>
      <c r="B145" s="4" t="inlineStr">
        <is>
          <t>EFS Flat</t>
        </is>
      </c>
      <c r="C145" s="4" t="inlineStr">
        <is>
          <t>stage2 · consumption · aux materials kg</t>
        </is>
      </c>
      <c r="D145" s="4" t="inlineStr"/>
      <c r="E145" s="4" t="n">
        <v>0.003021438574240115</v>
      </c>
      <c r="F145" s="4" t="n"/>
      <c r="G145" s="5">
        <f>IF(OR(F145="",E145=0),"",F145/E145-1)</f>
        <v/>
      </c>
    </row>
    <row r="146">
      <c r="A146" s="4" t="inlineStr">
        <is>
          <t>detail.EFS Flat.stage2.consumption.refractories_kg</t>
        </is>
      </c>
      <c r="B146" s="4" t="inlineStr">
        <is>
          <t>EFS Flat</t>
        </is>
      </c>
      <c r="C146" s="4" t="inlineStr">
        <is>
          <t>stage2 · consumption · refractories kg</t>
        </is>
      </c>
      <c r="D146" s="4" t="inlineStr"/>
      <c r="E146" s="4" t="n">
        <v>1.837549592597855</v>
      </c>
      <c r="F146" s="4" t="n"/>
      <c r="G146" s="5">
        <f>IF(OR(F146="",E146=0),"",F146/E146-1)</f>
        <v/>
      </c>
    </row>
    <row r="147">
      <c r="A147" s="4" t="inlineStr">
        <is>
          <t>detail.EFS Flat.stage2.consumption.electricity_kwh</t>
        </is>
      </c>
      <c r="B147" s="4" t="inlineStr">
        <is>
          <t>EFS Flat</t>
        </is>
      </c>
      <c r="C147" s="4" t="inlineStr">
        <is>
          <t>stage2 · consumption · electricity kwh</t>
        </is>
      </c>
      <c r="D147" s="4" t="inlineStr"/>
      <c r="E147" s="4" t="n">
        <v>5.383879813734355</v>
      </c>
      <c r="F147" s="4" t="n"/>
      <c r="G147" s="5">
        <f>IF(OR(F147="",E147=0),"",F147/E147-1)</f>
        <v/>
      </c>
    </row>
    <row r="148">
      <c r="A148" s="4" t="inlineStr">
        <is>
          <t>detail.EFS Flat.stage2.consumption.natural_gas_nm3</t>
        </is>
      </c>
      <c r="B148" s="4" t="inlineStr">
        <is>
          <t>EFS Flat</t>
        </is>
      </c>
      <c r="C148" s="4" t="inlineStr">
        <is>
          <t>stage2 · consumption · natural gas nm3</t>
        </is>
      </c>
      <c r="D148" s="4" t="inlineStr"/>
      <c r="E148" s="4" t="n">
        <v>6.704507451126505</v>
      </c>
      <c r="F148" s="4" t="n"/>
      <c r="G148" s="5">
        <f>IF(OR(F148="",E148=0),"",F148/E148-1)</f>
        <v/>
      </c>
    </row>
    <row r="149">
      <c r="A149" s="4" t="inlineStr">
        <is>
          <t>detail.EFS Flat.stage2.consumption.water_m3</t>
        </is>
      </c>
      <c r="B149" s="4" t="inlineStr">
        <is>
          <t>EFS Flat</t>
        </is>
      </c>
      <c r="C149" s="4" t="inlineStr">
        <is>
          <t>stage2 · consumption · water m3</t>
        </is>
      </c>
      <c r="D149" s="4" t="inlineStr"/>
      <c r="E149" s="4" t="n">
        <v>0.4983862928209065</v>
      </c>
      <c r="F149" s="4" t="n"/>
      <c r="G149" s="5">
        <f>IF(OR(F149="",E149=0),"",F149/E149-1)</f>
        <v/>
      </c>
    </row>
    <row r="150">
      <c r="A150" s="4" t="inlineStr">
        <is>
          <t>detail.EFS Flat.stage2.consumption.oxygen_nm3</t>
        </is>
      </c>
      <c r="B150" s="4" t="inlineStr">
        <is>
          <t>EFS Flat</t>
        </is>
      </c>
      <c r="C150" s="4" t="inlineStr">
        <is>
          <t>stage2 · consumption · oxygen nm3</t>
        </is>
      </c>
      <c r="D150" s="4" t="inlineStr"/>
      <c r="E150" s="4" t="n">
        <v>3.481301525239457</v>
      </c>
      <c r="F150" s="4" t="n"/>
      <c r="G150" s="5">
        <f>IF(OR(F150="",E150=0),"",F150/E150-1)</f>
        <v/>
      </c>
    </row>
    <row r="151">
      <c r="A151" s="4" t="inlineStr">
        <is>
          <t>detail.EFS Flat.stage2.consumption.nitrogen_nm3</t>
        </is>
      </c>
      <c r="B151" s="4" t="inlineStr">
        <is>
          <t>EFS Flat</t>
        </is>
      </c>
      <c r="C151" s="4" t="inlineStr">
        <is>
          <t>stage2 · consumption · nitrogen nm3</t>
        </is>
      </c>
      <c r="D151" s="4" t="inlineStr"/>
      <c r="E151" s="4" t="n">
        <v>0</v>
      </c>
      <c r="F151" s="4" t="n"/>
      <c r="G151" s="5">
        <f>IF(OR(F151="",E151=0),"",F151/E151-1)</f>
        <v/>
      </c>
    </row>
    <row r="152">
      <c r="A152" s="4" t="inlineStr">
        <is>
          <t>detail.EFS Flat.stage2.consumption.argon_nm3</t>
        </is>
      </c>
      <c r="B152" s="4" t="inlineStr">
        <is>
          <t>EFS Flat</t>
        </is>
      </c>
      <c r="C152" s="4" t="inlineStr">
        <is>
          <t>stage2 · consumption · argon nm3</t>
        </is>
      </c>
      <c r="D152" s="4" t="inlineStr"/>
      <c r="E152" s="4" t="n">
        <v>0.0007121962353565979</v>
      </c>
      <c r="F152" s="4" t="n"/>
      <c r="G152" s="5">
        <f>IF(OR(F152="",E152=0),"",F152/E152-1)</f>
        <v/>
      </c>
    </row>
    <row r="153">
      <c r="A153" s="4" t="inlineStr">
        <is>
          <t>detail.EFS Flat.stage2.prices_usd.byproduct_t</t>
        </is>
      </c>
      <c r="B153" s="4" t="inlineStr">
        <is>
          <t>EFS Flat</t>
        </is>
      </c>
      <c r="C153" s="4" t="inlineStr">
        <is>
          <t>stage2 · prices usd · byproduct t</t>
        </is>
      </c>
      <c r="D153" s="4" t="inlineStr"/>
      <c r="E153" s="4" t="n">
        <v>350.2890647211095</v>
      </c>
      <c r="F153" s="4" t="n"/>
      <c r="G153" s="5">
        <f>IF(OR(F153="",E153=0),"",F153/E153-1)</f>
        <v/>
      </c>
    </row>
    <row r="154">
      <c r="A154" s="4" t="inlineStr">
        <is>
          <t>detail.EFS Flat.stage2.prices_usd.aux_materials_kg</t>
        </is>
      </c>
      <c r="B154" s="4" t="inlineStr">
        <is>
          <t>EFS Flat</t>
        </is>
      </c>
      <c r="C154" s="4" t="inlineStr">
        <is>
          <t>stage2 · prices usd · aux materials kg</t>
        </is>
      </c>
      <c r="D154" s="4" t="inlineStr"/>
      <c r="E154" s="4" t="n">
        <v>559.92857142857</v>
      </c>
      <c r="F154" s="4" t="n"/>
      <c r="G154" s="5">
        <f>IF(OR(F154="",E154=0),"",F154/E154-1)</f>
        <v/>
      </c>
    </row>
    <row r="155">
      <c r="A155" s="4" t="inlineStr">
        <is>
          <t>detail.EFS Flat.stage2.prices_usd.refractories_kg</t>
        </is>
      </c>
      <c r="B155" s="4" t="inlineStr">
        <is>
          <t>EFS Flat</t>
        </is>
      </c>
      <c r="C155" s="4" t="inlineStr">
        <is>
          <t>stage2 · prices usd · refractories kg</t>
        </is>
      </c>
      <c r="D155" s="4" t="inlineStr"/>
      <c r="E155" s="4" t="n">
        <v>854.3920014508503</v>
      </c>
      <c r="F155" s="4" t="n"/>
      <c r="G155" s="5">
        <f>IF(OR(F155="",E155=0),"",F155/E155-1)</f>
        <v/>
      </c>
    </row>
    <row r="156">
      <c r="A156" s="4" t="inlineStr">
        <is>
          <t>detail.EFS Flat.stage2.prices_usd.natural_gas_nm3</t>
        </is>
      </c>
      <c r="B156" s="4" t="inlineStr">
        <is>
          <t>EFS Flat</t>
        </is>
      </c>
      <c r="C156" s="4" t="inlineStr">
        <is>
          <t>stage2 · prices usd · natural gas nm3</t>
        </is>
      </c>
      <c r="D156" s="4" t="inlineStr"/>
      <c r="E156" s="4" t="n">
        <v>0.250724642126514</v>
      </c>
      <c r="F156" s="4" t="n"/>
      <c r="G156" s="5">
        <f>IF(OR(F156="",E156=0),"",F156/E156-1)</f>
        <v/>
      </c>
    </row>
    <row r="157">
      <c r="A157" s="4" t="inlineStr">
        <is>
          <t>detail.EFS Flat.stage2.prices_usd.water_m3</t>
        </is>
      </c>
      <c r="B157" s="4" t="inlineStr">
        <is>
          <t>EFS Flat</t>
        </is>
      </c>
      <c r="C157" s="4" t="inlineStr">
        <is>
          <t>stage2 · prices usd · water m3</t>
        </is>
      </c>
      <c r="D157" s="4" t="inlineStr"/>
      <c r="E157" s="4" t="n">
        <v>0.2716395510654938</v>
      </c>
      <c r="F157" s="4" t="n"/>
      <c r="G157" s="5">
        <f>IF(OR(F157="",E157=0),"",F157/E157-1)</f>
        <v/>
      </c>
    </row>
    <row r="158">
      <c r="A158" s="4" t="inlineStr">
        <is>
          <t>detail.EFS Flat.stage2.prices_usd.oxygen_nm3</t>
        </is>
      </c>
      <c r="B158" s="4" t="inlineStr">
        <is>
          <t>EFS Flat</t>
        </is>
      </c>
      <c r="C158" s="4" t="inlineStr">
        <is>
          <t>stage2 · prices usd · oxygen nm3</t>
        </is>
      </c>
      <c r="D158" s="4" t="inlineStr"/>
      <c r="E158" s="4" t="n">
        <v>0.1716647463083416</v>
      </c>
      <c r="F158" s="4" t="n"/>
      <c r="G158" s="5">
        <f>IF(OR(F158="",E158=0),"",F158/E158-1)</f>
        <v/>
      </c>
    </row>
    <row r="159">
      <c r="A159" s="4" t="inlineStr">
        <is>
          <t>detail.EFS Flat.stage2.prices_usd.nitrogen_nm3</t>
        </is>
      </c>
      <c r="B159" s="4" t="inlineStr">
        <is>
          <t>EFS Flat</t>
        </is>
      </c>
      <c r="C159" s="4" t="inlineStr">
        <is>
          <t>stage2 · prices usd · nitrogen nm3</t>
        </is>
      </c>
      <c r="D159" s="4" t="inlineStr"/>
      <c r="E159" s="4" t="n">
        <v>0</v>
      </c>
      <c r="F159" s="4" t="n"/>
      <c r="G159" s="5">
        <f>IF(OR(F159="",E159=0),"",F159/E159-1)</f>
        <v/>
      </c>
    </row>
    <row r="160">
      <c r="A160" s="4" t="inlineStr">
        <is>
          <t>detail.EFS Flat.stage2.prices_usd.argon_nm3</t>
        </is>
      </c>
      <c r="B160" s="4" t="inlineStr">
        <is>
          <t>EFS Flat</t>
        </is>
      </c>
      <c r="C160" s="4" t="inlineStr">
        <is>
          <t>stage2 · prices usd · argon nm3</t>
        </is>
      </c>
      <c r="D160" s="4" t="inlineStr"/>
      <c r="E160" s="4" t="n">
        <v>1.928367316863704</v>
      </c>
      <c r="F160" s="4" t="n"/>
      <c r="G160" s="5">
        <f>IF(OR(F160="",E160=0),"",F160/E160-1)</f>
        <v/>
      </c>
    </row>
    <row r="161">
      <c r="A161" s="4" t="inlineStr">
        <is>
          <t>detail.EFS Flat.stage3.feed_share.produced</t>
        </is>
      </c>
      <c r="B161" s="4" t="inlineStr">
        <is>
          <t>EFS Flat</t>
        </is>
      </c>
      <c r="C161" s="4" t="inlineStr">
        <is>
          <t>stage3 · feed share · produced</t>
        </is>
      </c>
      <c r="D161" s="4" t="inlineStr"/>
      <c r="E161" s="4" t="n">
        <v>1</v>
      </c>
      <c r="F161" s="4" t="n"/>
      <c r="G161" s="5">
        <f>IF(OR(F161="",E161=0),"",F161/E161-1)</f>
        <v/>
      </c>
    </row>
    <row r="162">
      <c r="A162" s="4" t="inlineStr">
        <is>
          <t>detail.EFS Flat.stage3.feed_share.local</t>
        </is>
      </c>
      <c r="B162" s="4" t="inlineStr">
        <is>
          <t>EFS Flat</t>
        </is>
      </c>
      <c r="C162" s="4" t="inlineStr">
        <is>
          <t>stage3 · feed share · local</t>
        </is>
      </c>
      <c r="D162" s="4" t="inlineStr"/>
      <c r="E162" s="4" t="n">
        <v>0</v>
      </c>
      <c r="F162" s="4" t="n"/>
      <c r="G162" s="5">
        <f>IF(OR(F162="",E162=0),"",F162/E162-1)</f>
        <v/>
      </c>
    </row>
    <row r="163">
      <c r="A163" s="4" t="inlineStr">
        <is>
          <t>detail.EFS Flat.stage3.feed_share.imported</t>
        </is>
      </c>
      <c r="B163" s="4" t="inlineStr">
        <is>
          <t>EFS Flat</t>
        </is>
      </c>
      <c r="C163" s="4" t="inlineStr">
        <is>
          <t>stage3 · feed share · imported</t>
        </is>
      </c>
      <c r="D163" s="4" t="inlineStr"/>
      <c r="E163" s="4" t="n">
        <v>0</v>
      </c>
      <c r="F163" s="4" t="n"/>
      <c r="G163" s="5">
        <f>IF(OR(F163="",E163=0),"",F163/E163-1)</f>
        <v/>
      </c>
    </row>
    <row r="164">
      <c r="A164" s="4" t="inlineStr">
        <is>
          <t>detail.EFS Flat.stage3.byproduct_pct_of_feed</t>
        </is>
      </c>
      <c r="B164" s="4" t="inlineStr">
        <is>
          <t>EFS Flat</t>
        </is>
      </c>
      <c r="C164" s="4" t="inlineStr">
        <is>
          <t>stage3 · byproduct pct of feed</t>
        </is>
      </c>
      <c r="D164" s="4" t="inlineStr"/>
      <c r="E164" s="4" t="n">
        <v>-0.0429671824854594</v>
      </c>
      <c r="F164" s="4" t="n"/>
      <c r="G164" s="5">
        <f>IF(OR(F164="",E164=0),"",F164/E164-1)</f>
        <v/>
      </c>
    </row>
    <row r="165">
      <c r="A165" s="4" t="inlineStr">
        <is>
          <t>detail.EFS Flat.stage3.consumption.refractories_kg</t>
        </is>
      </c>
      <c r="B165" s="4" t="inlineStr">
        <is>
          <t>EFS Flat</t>
        </is>
      </c>
      <c r="C165" s="4" t="inlineStr">
        <is>
          <t>stage3 · consumption · refractories kg</t>
        </is>
      </c>
      <c r="D165" s="4" t="inlineStr"/>
      <c r="E165" s="4" t="n">
        <v>0.7184245777221193</v>
      </c>
      <c r="F165" s="4" t="n"/>
      <c r="G165" s="5">
        <f>IF(OR(F165="",E165=0),"",F165/E165-1)</f>
        <v/>
      </c>
    </row>
    <row r="166">
      <c r="A166" s="4" t="inlineStr">
        <is>
          <t>detail.EFS Flat.stage3.consumption.electricity_kwh</t>
        </is>
      </c>
      <c r="B166" s="4" t="inlineStr">
        <is>
          <t>EFS Flat</t>
        </is>
      </c>
      <c r="C166" s="4" t="inlineStr">
        <is>
          <t>stage3 · consumption · electricity kwh</t>
        </is>
      </c>
      <c r="D166" s="4" t="inlineStr"/>
      <c r="E166" s="4" t="n">
        <v>99.81222249827461</v>
      </c>
      <c r="F166" s="4" t="n"/>
      <c r="G166" s="5">
        <f>IF(OR(F166="",E166=0),"",F166/E166-1)</f>
        <v/>
      </c>
    </row>
    <row r="167">
      <c r="A167" s="4" t="inlineStr">
        <is>
          <t>detail.EFS Flat.stage3.consumption.natural_gas_nm3</t>
        </is>
      </c>
      <c r="B167" s="4" t="inlineStr">
        <is>
          <t>EFS Flat</t>
        </is>
      </c>
      <c r="C167" s="4" t="inlineStr">
        <is>
          <t>stage3 · consumption · natural gas nm3</t>
        </is>
      </c>
      <c r="D167" s="4" t="inlineStr"/>
      <c r="E167" s="4" t="n">
        <v>31.71842905583779</v>
      </c>
      <c r="F167" s="4" t="n"/>
      <c r="G167" s="5">
        <f>IF(OR(F167="",E167=0),"",F167/E167-1)</f>
        <v/>
      </c>
    </row>
    <row r="168">
      <c r="A168" s="4" t="inlineStr">
        <is>
          <t>detail.EFS Flat.stage3.consumption.water_m3</t>
        </is>
      </c>
      <c r="B168" s="4" t="inlineStr">
        <is>
          <t>EFS Flat</t>
        </is>
      </c>
      <c r="C168" s="4" t="inlineStr">
        <is>
          <t>stage3 · consumption · water m3</t>
        </is>
      </c>
      <c r="D168" s="4" t="inlineStr"/>
      <c r="E168" s="4" t="n">
        <v>0.4527712000215207</v>
      </c>
      <c r="F168" s="4" t="n"/>
      <c r="G168" s="5">
        <f>IF(OR(F168="",E168=0),"",F168/E168-1)</f>
        <v/>
      </c>
    </row>
    <row r="169">
      <c r="A169" s="4" t="inlineStr">
        <is>
          <t>detail.EFS Flat.stage3.consumption.work_roll_units</t>
        </is>
      </c>
      <c r="B169" s="4" t="inlineStr">
        <is>
          <t>EFS Flat</t>
        </is>
      </c>
      <c r="C169" s="4" t="inlineStr">
        <is>
          <t>stage3 · consumption · work roll units</t>
        </is>
      </c>
      <c r="D169" s="4" t="inlineStr"/>
      <c r="E169" s="4" t="n">
        <v>1</v>
      </c>
      <c r="F169" s="4" t="n"/>
      <c r="G169" s="5">
        <f>IF(OR(F169="",E169=0),"",F169/E169-1)</f>
        <v/>
      </c>
    </row>
    <row r="170">
      <c r="A170" s="4" t="inlineStr">
        <is>
          <t>detail.EFS Flat.stage3.prices_usd.local_feed_t</t>
        </is>
      </c>
      <c r="B170" s="4" t="inlineStr">
        <is>
          <t>EFS Flat</t>
        </is>
      </c>
      <c r="C170" s="4" t="inlineStr">
        <is>
          <t>stage3 · prices usd · local feed t</t>
        </is>
      </c>
      <c r="D170" s="4" t="inlineStr"/>
      <c r="E170" s="4" t="n">
        <v>0</v>
      </c>
      <c r="F170" s="4" t="n"/>
      <c r="G170" s="5">
        <f>IF(OR(F170="",E170=0),"",F170/E170-1)</f>
        <v/>
      </c>
    </row>
    <row r="171">
      <c r="A171" s="4" t="inlineStr">
        <is>
          <t>detail.EFS Flat.stage3.prices_usd.imported_feed_t</t>
        </is>
      </c>
      <c r="B171" s="4" t="inlineStr">
        <is>
          <t>EFS Flat</t>
        </is>
      </c>
      <c r="C171" s="4" t="inlineStr">
        <is>
          <t>stage3 · prices usd · imported feed t</t>
        </is>
      </c>
      <c r="D171" s="4" t="inlineStr"/>
      <c r="E171" s="4" t="n">
        <v>0</v>
      </c>
      <c r="F171" s="4" t="n"/>
      <c r="G171" s="5">
        <f>IF(OR(F171="",E171=0),"",F171/E171-1)</f>
        <v/>
      </c>
    </row>
    <row r="172">
      <c r="A172" s="4" t="inlineStr">
        <is>
          <t>detail.EFS Flat.stage3.prices_usd.byproduct_t</t>
        </is>
      </c>
      <c r="B172" s="4" t="inlineStr">
        <is>
          <t>EFS Flat</t>
        </is>
      </c>
      <c r="C172" s="4" t="inlineStr">
        <is>
          <t>stage3 · prices usd · byproduct t</t>
        </is>
      </c>
      <c r="D172" s="4" t="inlineStr"/>
      <c r="E172" s="4" t="n">
        <v>350.580539114885</v>
      </c>
      <c r="F172" s="4" t="n"/>
      <c r="G172" s="5">
        <f>IF(OR(F172="",E172=0),"",F172/E172-1)</f>
        <v/>
      </c>
    </row>
    <row r="173">
      <c r="A173" s="4" t="inlineStr">
        <is>
          <t>detail.EFS Flat.stage3.prices_usd.refractories_kg</t>
        </is>
      </c>
      <c r="B173" s="4" t="inlineStr">
        <is>
          <t>EFS Flat</t>
        </is>
      </c>
      <c r="C173" s="4" t="inlineStr">
        <is>
          <t>stage3 · prices usd · refractories kg</t>
        </is>
      </c>
      <c r="D173" s="4" t="inlineStr"/>
      <c r="E173" s="4" t="n">
        <v>1192.134271671135</v>
      </c>
      <c r="F173" s="4" t="n"/>
      <c r="G173" s="5">
        <f>IF(OR(F173="",E173=0),"",F173/E173-1)</f>
        <v/>
      </c>
    </row>
    <row r="174">
      <c r="A174" s="4" t="inlineStr">
        <is>
          <t>detail.EFS Flat.stage3.prices_usd.work_roll_unit</t>
        </is>
      </c>
      <c r="B174" s="4" t="inlineStr">
        <is>
          <t>EFS Flat</t>
        </is>
      </c>
      <c r="C174" s="4" t="inlineStr">
        <is>
          <t>stage3 · prices usd · work roll unit</t>
        </is>
      </c>
      <c r="D174" s="4" t="inlineStr"/>
      <c r="E174" s="4" t="n">
        <v>0.2342231833109885</v>
      </c>
      <c r="F174" s="4" t="n"/>
      <c r="G174" s="5">
        <f>IF(OR(F174="",E174=0),"",F174/E174-1)</f>
        <v/>
      </c>
    </row>
    <row r="175">
      <c r="A175" s="4" t="inlineStr">
        <is>
          <t>detail.ESR Rebar.stage3.feed_share.produced</t>
        </is>
      </c>
      <c r="B175" s="4" t="inlineStr">
        <is>
          <t>ESR Rebar</t>
        </is>
      </c>
      <c r="C175" s="4" t="inlineStr">
        <is>
          <t>stage3 · feed share · produced</t>
        </is>
      </c>
      <c r="D175" s="4" t="inlineStr"/>
      <c r="E175" s="4" t="n">
        <v>1</v>
      </c>
      <c r="F175" s="4" t="n"/>
      <c r="G175" s="5">
        <f>IF(OR(F175="",E175=0),"",F175/E175-1)</f>
        <v/>
      </c>
    </row>
    <row r="176">
      <c r="A176" s="4" t="inlineStr">
        <is>
          <t>detail.ESR Rebar.stage3.feed_share.local</t>
        </is>
      </c>
      <c r="B176" s="4" t="inlineStr">
        <is>
          <t>ESR Rebar</t>
        </is>
      </c>
      <c r="C176" s="4" t="inlineStr">
        <is>
          <t>stage3 · feed share · local</t>
        </is>
      </c>
      <c r="D176" s="4" t="inlineStr"/>
      <c r="E176" s="4" t="n">
        <v>0</v>
      </c>
      <c r="F176" s="4" t="n"/>
      <c r="G176" s="5">
        <f>IF(OR(F176="",E176=0),"",F176/E176-1)</f>
        <v/>
      </c>
    </row>
    <row r="177">
      <c r="A177" s="4" t="inlineStr">
        <is>
          <t>detail.ESR Rebar.stage3.feed_share.imported</t>
        </is>
      </c>
      <c r="B177" s="4" t="inlineStr">
        <is>
          <t>ESR Rebar</t>
        </is>
      </c>
      <c r="C177" s="4" t="inlineStr">
        <is>
          <t>stage3 · feed share · imported</t>
        </is>
      </c>
      <c r="D177" s="4" t="inlineStr"/>
      <c r="E177" s="4" t="n">
        <v>0</v>
      </c>
      <c r="F177" s="4" t="n"/>
      <c r="G177" s="5">
        <f>IF(OR(F177="",E177=0),"",F177/E177-1)</f>
        <v/>
      </c>
    </row>
    <row r="178">
      <c r="A178" s="4" t="inlineStr">
        <is>
          <t>detail.ESR Rebar.stage3.byproduct_pct_of_feed</t>
        </is>
      </c>
      <c r="B178" s="4" t="inlineStr">
        <is>
          <t>ESR Rebar</t>
        </is>
      </c>
      <c r="C178" s="4" t="inlineStr">
        <is>
          <t>stage3 · byproduct pct of feed</t>
        </is>
      </c>
      <c r="D178" s="4" t="inlineStr"/>
      <c r="E178" s="4" t="n">
        <v>-0.021355601084888</v>
      </c>
      <c r="F178" s="4" t="n"/>
      <c r="G178" s="5">
        <f>IF(OR(F178="",E178=0),"",F178/E178-1)</f>
        <v/>
      </c>
    </row>
    <row r="179">
      <c r="A179" s="4" t="inlineStr">
        <is>
          <t>detail.ESR Rebar.stage3.crops_t</t>
        </is>
      </c>
      <c r="B179" s="4" t="inlineStr">
        <is>
          <t>ESR Rebar</t>
        </is>
      </c>
      <c r="C179" s="4" t="inlineStr">
        <is>
          <t>stage3 · crops t</t>
        </is>
      </c>
      <c r="D179" s="4" t="inlineStr"/>
      <c r="E179" s="4" t="n">
        <v>0</v>
      </c>
      <c r="F179" s="4" t="n"/>
      <c r="G179" s="5">
        <f>IF(OR(F179="",E179=0),"",F179/E179-1)</f>
        <v/>
      </c>
    </row>
    <row r="180">
      <c r="A180" s="4" t="inlineStr">
        <is>
          <t>detail.ESR Rebar.stage3.consumption.refractories_kg</t>
        </is>
      </c>
      <c r="B180" s="4" t="inlineStr">
        <is>
          <t>ESR Rebar</t>
        </is>
      </c>
      <c r="C180" s="4" t="inlineStr">
        <is>
          <t>stage3 · consumption · refractories kg</t>
        </is>
      </c>
      <c r="D180" s="4" t="inlineStr"/>
      <c r="E180" s="4" t="n">
        <v>0</v>
      </c>
      <c r="F180" s="4" t="n"/>
      <c r="G180" s="5">
        <f>IF(OR(F180="",E180=0),"",F180/E180-1)</f>
        <v/>
      </c>
    </row>
    <row r="181">
      <c r="A181" s="4" t="inlineStr">
        <is>
          <t>detail.ESR Rebar.stage3.consumption.electricity_kwh</t>
        </is>
      </c>
      <c r="B181" s="4" t="inlineStr">
        <is>
          <t>ESR Rebar</t>
        </is>
      </c>
      <c r="C181" s="4" t="inlineStr">
        <is>
          <t>stage3 · consumption · electricity kwh</t>
        </is>
      </c>
      <c r="D181" s="4" t="inlineStr"/>
      <c r="E181" s="4" t="n">
        <v>104.1127086718601</v>
      </c>
      <c r="F181" s="4" t="n"/>
      <c r="G181" s="5">
        <f>IF(OR(F181="",E181=0),"",F181/E181-1)</f>
        <v/>
      </c>
    </row>
    <row r="182">
      <c r="A182" s="4" t="inlineStr">
        <is>
          <t>detail.ESR Rebar.stage3.consumption.natural_gas_nm3</t>
        </is>
      </c>
      <c r="B182" s="4" t="inlineStr">
        <is>
          <t>ESR Rebar</t>
        </is>
      </c>
      <c r="C182" s="4" t="inlineStr">
        <is>
          <t>stage3 · consumption · natural gas nm3</t>
        </is>
      </c>
      <c r="D182" s="4" t="inlineStr"/>
      <c r="E182" s="4" t="n">
        <v>29.33368569582182</v>
      </c>
      <c r="F182" s="4" t="n"/>
      <c r="G182" s="5">
        <f>IF(OR(F182="",E182=0),"",F182/E182-1)</f>
        <v/>
      </c>
    </row>
    <row r="183">
      <c r="A183" s="4" t="inlineStr">
        <is>
          <t>detail.ESR Rebar.stage3.consumption.water_m3</t>
        </is>
      </c>
      <c r="B183" s="4" t="inlineStr">
        <is>
          <t>ESR Rebar</t>
        </is>
      </c>
      <c r="C183" s="4" t="inlineStr">
        <is>
          <t>stage3 · consumption · water m3</t>
        </is>
      </c>
      <c r="D183" s="4" t="inlineStr"/>
      <c r="E183" s="4" t="n">
        <v>0.5288289141643301</v>
      </c>
      <c r="F183" s="4" t="n"/>
      <c r="G183" s="5">
        <f>IF(OR(F183="",E183=0),"",F183/E183-1)</f>
        <v/>
      </c>
    </row>
    <row r="184">
      <c r="A184" s="4" t="inlineStr">
        <is>
          <t>detail.ESR Rebar.stage3.consumption.labels_rings_units</t>
        </is>
      </c>
      <c r="B184" s="4" t="inlineStr">
        <is>
          <t>ESR Rebar</t>
        </is>
      </c>
      <c r="C184" s="4" t="inlineStr">
        <is>
          <t>stage3 · consumption · labels rings units</t>
        </is>
      </c>
      <c r="D184" s="4" t="inlineStr"/>
      <c r="E184" s="4" t="n">
        <v>1</v>
      </c>
      <c r="F184" s="4" t="n"/>
      <c r="G184" s="5">
        <f>IF(OR(F184="",E184=0),"",F184/E184-1)</f>
        <v/>
      </c>
    </row>
    <row r="185">
      <c r="A185" s="4" t="inlineStr">
        <is>
          <t>detail.ESR Rebar.stage3.consumption.chemicals_units</t>
        </is>
      </c>
      <c r="B185" s="4" t="inlineStr">
        <is>
          <t>ESR Rebar</t>
        </is>
      </c>
      <c r="C185" s="4" t="inlineStr">
        <is>
          <t>stage3 · consumption · chemicals units</t>
        </is>
      </c>
      <c r="D185" s="4" t="inlineStr"/>
      <c r="E185" s="4" t="n">
        <v>1</v>
      </c>
      <c r="F185" s="4" t="n"/>
      <c r="G185" s="5">
        <f>IF(OR(F185="",E185=0),"",F185/E185-1)</f>
        <v/>
      </c>
    </row>
    <row r="186">
      <c r="A186" s="4" t="inlineStr">
        <is>
          <t>detail.ESR Rebar.stage3.consumption.tying_kg</t>
        </is>
      </c>
      <c r="B186" s="4" t="inlineStr">
        <is>
          <t>ESR Rebar</t>
        </is>
      </c>
      <c r="C186" s="4" t="inlineStr">
        <is>
          <t>stage3 · consumption · tying kg</t>
        </is>
      </c>
      <c r="D186" s="4" t="inlineStr"/>
      <c r="E186" s="4" t="n">
        <v>1.444387418403044</v>
      </c>
      <c r="F186" s="4" t="n"/>
      <c r="G186" s="5">
        <f>IF(OR(F186="",E186=0),"",F186/E186-1)</f>
        <v/>
      </c>
    </row>
    <row r="187">
      <c r="A187" s="4" t="inlineStr">
        <is>
          <t>detail.ESR Rebar.stage3.prices_usd.imported_feed_t</t>
        </is>
      </c>
      <c r="B187" s="4" t="inlineStr">
        <is>
          <t>ESR Rebar</t>
        </is>
      </c>
      <c r="C187" s="4" t="inlineStr">
        <is>
          <t>stage3 · prices usd · imported feed t</t>
        </is>
      </c>
      <c r="D187" s="4" t="inlineStr"/>
      <c r="E187" s="4" t="n">
        <v>0</v>
      </c>
      <c r="F187" s="4" t="n"/>
      <c r="G187" s="5">
        <f>IF(OR(F187="",E187=0),"",F187/E187-1)</f>
        <v/>
      </c>
    </row>
    <row r="188">
      <c r="A188" s="4" t="inlineStr">
        <is>
          <t>detail.ESR Rebar.stage3.prices_usd.byproduct_t</t>
        </is>
      </c>
      <c r="B188" s="4" t="inlineStr">
        <is>
          <t>ESR Rebar</t>
        </is>
      </c>
      <c r="C188" s="4" t="inlineStr">
        <is>
          <t>stage3 · prices usd · byproduct t</t>
        </is>
      </c>
      <c r="D188" s="4" t="inlineStr"/>
      <c r="E188" s="4" t="n">
        <v>358.6261921934878</v>
      </c>
      <c r="F188" s="4" t="n"/>
      <c r="G188" s="5">
        <f>IF(OR(F188="",E188=0),"",F188/E188-1)</f>
        <v/>
      </c>
    </row>
    <row r="189">
      <c r="A189" s="4" t="inlineStr">
        <is>
          <t>detail.ESR Rebar.stage3.prices_usd.crops_t</t>
        </is>
      </c>
      <c r="B189" s="4" t="inlineStr">
        <is>
          <t>ESR Rebar</t>
        </is>
      </c>
      <c r="C189" s="4" t="inlineStr">
        <is>
          <t>stage3 · prices usd · crops t</t>
        </is>
      </c>
      <c r="D189" s="4" t="inlineStr"/>
      <c r="E189" s="4" t="n">
        <v>0</v>
      </c>
      <c r="F189" s="4" t="n"/>
      <c r="G189" s="5">
        <f>IF(OR(F189="",E189=0),"",F189/E189-1)</f>
        <v/>
      </c>
    </row>
    <row r="190">
      <c r="A190" s="4" t="inlineStr">
        <is>
          <t>detail.ESR Rebar.stage3.prices_usd.refractories_kg</t>
        </is>
      </c>
      <c r="B190" s="4" t="inlineStr">
        <is>
          <t>ESR Rebar</t>
        </is>
      </c>
      <c r="C190" s="4" t="inlineStr">
        <is>
          <t>stage3 · prices usd · refractories kg</t>
        </is>
      </c>
      <c r="D190" s="4" t="inlineStr"/>
      <c r="E190" s="4" t="n">
        <v>0</v>
      </c>
      <c r="F190" s="4" t="n"/>
      <c r="G190" s="5">
        <f>IF(OR(F190="",E190=0),"",F190/E190-1)</f>
        <v/>
      </c>
    </row>
    <row r="191">
      <c r="A191" s="4" t="inlineStr">
        <is>
          <t>detail.ESR Rebar.stage3.prices_usd.labels_rings_unit</t>
        </is>
      </c>
      <c r="B191" s="4" t="inlineStr">
        <is>
          <t>ESR Rebar</t>
        </is>
      </c>
      <c r="C191" s="4" t="inlineStr">
        <is>
          <t>stage3 · prices usd · labels rings unit</t>
        </is>
      </c>
      <c r="D191" s="4" t="inlineStr">
        <is>
          <t>in LE (converted at FX)</t>
        </is>
      </c>
      <c r="E191" s="4" t="n">
        <v>14.3390542803325</v>
      </c>
      <c r="F191" s="4" t="n"/>
      <c r="G191" s="5">
        <f>IF(OR(F191="",E191=0),"",F191/E191-1)</f>
        <v/>
      </c>
    </row>
    <row r="192">
      <c r="A192" s="4" t="inlineStr">
        <is>
          <t>detail.ESR Rebar.stage3.prices_usd.chemicals_unit</t>
        </is>
      </c>
      <c r="B192" s="4" t="inlineStr">
        <is>
          <t>ESR Rebar</t>
        </is>
      </c>
      <c r="C192" s="4" t="inlineStr">
        <is>
          <t>stage3 · prices usd · chemicals unit</t>
        </is>
      </c>
      <c r="D192" s="4" t="inlineStr"/>
      <c r="E192" s="4" t="n">
        <v>4.34690057966502</v>
      </c>
      <c r="F192" s="4" t="n"/>
      <c r="G192" s="5">
        <f>IF(OR(F192="",E192=0),"",F192/E192-1)</f>
        <v/>
      </c>
    </row>
    <row r="193">
      <c r="A193" s="4" t="inlineStr">
        <is>
          <t>detail.ESR Rebar.stage3.prices_usd.tying_t</t>
        </is>
      </c>
      <c r="B193" s="4" t="inlineStr">
        <is>
          <t>ESR Rebar</t>
        </is>
      </c>
      <c r="C193" s="4" t="inlineStr">
        <is>
          <t>stage3 · prices usd · tying t</t>
        </is>
      </c>
      <c r="D193" s="4" t="inlineStr">
        <is>
          <t>in LE (converted at FX)</t>
        </is>
      </c>
      <c r="E193" s="4" t="n">
        <v>10406.4871874219</v>
      </c>
      <c r="F193" s="4" t="n"/>
      <c r="G193" s="5">
        <f>IF(OR(F193="",E193=0),"",F193/E193-1)</f>
        <v/>
      </c>
    </row>
    <row r="194">
      <c r="A194" s="4" t="inlineStr">
        <is>
          <t>detail.ERM Rolling.feed_share.imported</t>
        </is>
      </c>
      <c r="B194" s="4" t="inlineStr">
        <is>
          <t>ERM Rolling</t>
        </is>
      </c>
      <c r="C194" s="4" t="inlineStr">
        <is>
          <t>feed share · imported</t>
        </is>
      </c>
      <c r="D194" s="4" t="inlineStr"/>
      <c r="E194" s="4" t="n">
        <v>0</v>
      </c>
      <c r="F194" s="4" t="n"/>
      <c r="G194" s="5">
        <f>IF(OR(F194="",E194=0),"",F194/E194-1)</f>
        <v/>
      </c>
    </row>
    <row r="195">
      <c r="A195" s="4" t="inlineStr">
        <is>
          <t>detail.ERM Rolling.feed_share.produced</t>
        </is>
      </c>
      <c r="B195" s="4" t="inlineStr">
        <is>
          <t>ERM Rolling</t>
        </is>
      </c>
      <c r="C195" s="4" t="inlineStr">
        <is>
          <t>feed share · produced</t>
        </is>
      </c>
      <c r="D195" s="4" t="inlineStr"/>
      <c r="E195" s="4" t="n">
        <v>1</v>
      </c>
      <c r="F195" s="4" t="n"/>
      <c r="G195" s="5">
        <f>IF(OR(F195="",E195=0),"",F195/E195-1)</f>
        <v/>
      </c>
    </row>
    <row r="196">
      <c r="A196" s="4" t="inlineStr">
        <is>
          <t>detail.ERM Rolling.feed_share.local</t>
        </is>
      </c>
      <c r="B196" s="4" t="inlineStr">
        <is>
          <t>ERM Rolling</t>
        </is>
      </c>
      <c r="C196" s="4" t="inlineStr">
        <is>
          <t>feed share · local</t>
        </is>
      </c>
      <c r="D196" s="4" t="inlineStr"/>
      <c r="E196" s="4" t="n">
        <v>0</v>
      </c>
      <c r="F196" s="4" t="n"/>
      <c r="G196" s="5">
        <f>IF(OR(F196="",E196=0),"",F196/E196-1)</f>
        <v/>
      </c>
    </row>
    <row r="197">
      <c r="A197" s="4" t="inlineStr">
        <is>
          <t>detail.ERM Rolling.byproduct_pct_of_feed</t>
        </is>
      </c>
      <c r="B197" s="4" t="inlineStr">
        <is>
          <t>ERM Rolling</t>
        </is>
      </c>
      <c r="C197" s="4" t="inlineStr">
        <is>
          <t>byproduct pct of feed</t>
        </is>
      </c>
      <c r="D197" s="4" t="inlineStr"/>
      <c r="E197" s="4" t="n">
        <v>-0.01167191134760786</v>
      </c>
      <c r="F197" s="4" t="n"/>
      <c r="G197" s="5">
        <f>IF(OR(F197="",E197=0),"",F197/E197-1)</f>
        <v/>
      </c>
    </row>
    <row r="198">
      <c r="A198" s="4" t="inlineStr">
        <is>
          <t>detail.ERM Rolling.consumption.electricity_kwh</t>
        </is>
      </c>
      <c r="B198" s="4" t="inlineStr">
        <is>
          <t>ERM Rolling</t>
        </is>
      </c>
      <c r="C198" s="4" t="inlineStr">
        <is>
          <t>consumption · electricity kwh</t>
        </is>
      </c>
      <c r="D198" s="4" t="inlineStr"/>
      <c r="E198" s="4" t="n">
        <v>106.2063018366295</v>
      </c>
      <c r="F198" s="4" t="n"/>
      <c r="G198" s="5">
        <f>IF(OR(F198="",E198=0),"",F198/E198-1)</f>
        <v/>
      </c>
    </row>
    <row r="199">
      <c r="A199" s="4" t="inlineStr">
        <is>
          <t>detail.ERM Rolling.consumption.natural_gas_nm3</t>
        </is>
      </c>
      <c r="B199" s="4" t="inlineStr">
        <is>
          <t>ERM Rolling</t>
        </is>
      </c>
      <c r="C199" s="4" t="inlineStr">
        <is>
          <t>consumption · natural gas nm3</t>
        </is>
      </c>
      <c r="D199" s="4" t="inlineStr"/>
      <c r="E199" s="4" t="n">
        <v>27.66282461833477</v>
      </c>
      <c r="F199" s="4" t="n"/>
      <c r="G199" s="5">
        <f>IF(OR(F199="",E199=0),"",F199/E199-1)</f>
        <v/>
      </c>
    </row>
    <row r="200">
      <c r="A200" s="4" t="inlineStr">
        <is>
          <t>detail.ERM Rolling.consumption.recycled_water_nm3</t>
        </is>
      </c>
      <c r="B200" s="4" t="inlineStr">
        <is>
          <t>ERM Rolling</t>
        </is>
      </c>
      <c r="C200" s="4" t="inlineStr">
        <is>
          <t>consumption · recycled water nm3</t>
        </is>
      </c>
      <c r="D200" s="4" t="inlineStr"/>
      <c r="E200" s="4" t="n">
        <v>0.8372528120776468</v>
      </c>
      <c r="F200" s="4" t="n"/>
      <c r="G200" s="5">
        <f>IF(OR(F200="",E200=0),"",F200/E200-1)</f>
        <v/>
      </c>
    </row>
    <row r="201">
      <c r="A201" s="4" t="inlineStr">
        <is>
          <t>detail.ERM Rolling.consumption.tying_kg</t>
        </is>
      </c>
      <c r="B201" s="4" t="inlineStr">
        <is>
          <t>ERM Rolling</t>
        </is>
      </c>
      <c r="C201" s="4" t="inlineStr">
        <is>
          <t>consumption · tying kg</t>
        </is>
      </c>
      <c r="D201" s="4" t="inlineStr"/>
      <c r="E201" s="4" t="n">
        <v>1.679273932853518</v>
      </c>
      <c r="F201" s="4" t="n"/>
      <c r="G201" s="5">
        <f>IF(OR(F201="",E201=0),"",F201/E201-1)</f>
        <v/>
      </c>
    </row>
    <row r="202">
      <c r="A202" s="4" t="inlineStr">
        <is>
          <t>detail.ERM Rolling.consumption.chemicals_kg</t>
        </is>
      </c>
      <c r="B202" s="4" t="inlineStr">
        <is>
          <t>ERM Rolling</t>
        </is>
      </c>
      <c r="C202" s="4" t="inlineStr">
        <is>
          <t>consumption · chemicals kg</t>
        </is>
      </c>
      <c r="D202" s="4" t="inlineStr"/>
      <c r="E202" s="4" t="n">
        <v>0.6430820989416458</v>
      </c>
      <c r="F202" s="4" t="n"/>
      <c r="G202" s="5">
        <f>IF(OR(F202="",E202=0),"",F202/E202-1)</f>
        <v/>
      </c>
    </row>
    <row r="203">
      <c r="A203" s="4" t="inlineStr">
        <is>
          <t>detail.ERM Rolling.consumption.labels_rings_kg</t>
        </is>
      </c>
      <c r="B203" s="4" t="inlineStr">
        <is>
          <t>ERM Rolling</t>
        </is>
      </c>
      <c r="C203" s="4" t="inlineStr">
        <is>
          <t>consumption · labels rings kg</t>
        </is>
      </c>
      <c r="D203" s="4" t="inlineStr"/>
      <c r="E203" s="4" t="n">
        <v>0.6430820989416451</v>
      </c>
      <c r="F203" s="4" t="n"/>
      <c r="G203" s="5">
        <f>IF(OR(F203="",E203=0),"",F203/E203-1)</f>
        <v/>
      </c>
    </row>
    <row r="204">
      <c r="A204" s="4" t="inlineStr">
        <is>
          <t>detail.ERM Rolling.consumption.spare_parts_kg</t>
        </is>
      </c>
      <c r="B204" s="4" t="inlineStr">
        <is>
          <t>ERM Rolling</t>
        </is>
      </c>
      <c r="C204" s="4" t="inlineStr">
        <is>
          <t>consumption · spare parts kg</t>
        </is>
      </c>
      <c r="D204" s="4" t="inlineStr"/>
      <c r="E204" s="4" t="n">
        <v>0</v>
      </c>
      <c r="F204" s="4" t="n"/>
      <c r="G204" s="5">
        <f>IF(OR(F204="",E204=0),"",F204/E204-1)</f>
        <v/>
      </c>
    </row>
    <row r="205">
      <c r="A205" s="4" t="inlineStr">
        <is>
          <t>detail.ERM Rolling.consumption.external_services_kg</t>
        </is>
      </c>
      <c r="B205" s="4" t="inlineStr">
        <is>
          <t>ERM Rolling</t>
        </is>
      </c>
      <c r="C205" s="4" t="inlineStr">
        <is>
          <t>consumption · external services kg</t>
        </is>
      </c>
      <c r="D205" s="4" t="inlineStr"/>
      <c r="E205" s="4" t="n">
        <v>1</v>
      </c>
      <c r="F205" s="4" t="n"/>
      <c r="G205" s="5">
        <f>IF(OR(F205="",E205=0),"",F205/E205-1)</f>
        <v/>
      </c>
    </row>
    <row r="206">
      <c r="A206" s="4" t="inlineStr">
        <is>
          <t>detail.ERM Rolling.prices_le.imported_billet_usd_t</t>
        </is>
      </c>
      <c r="B206" s="4" t="inlineStr">
        <is>
          <t>ERM Rolling</t>
        </is>
      </c>
      <c r="C206" s="4" t="inlineStr">
        <is>
          <t>prices le · imported billet usd t</t>
        </is>
      </c>
      <c r="D206" s="4" t="inlineStr">
        <is>
          <t>$/t</t>
        </is>
      </c>
      <c r="E206" s="4" t="n">
        <v>0</v>
      </c>
      <c r="F206" s="4" t="n"/>
      <c r="G206" s="5">
        <f>IF(OR(F206="",E206=0),"",F206/E206-1)</f>
        <v/>
      </c>
    </row>
    <row r="207">
      <c r="A207" s="4" t="inlineStr">
        <is>
          <t>detail.ERM Rolling.prices_le.imported_extra_le_t</t>
        </is>
      </c>
      <c r="B207" s="4" t="inlineStr">
        <is>
          <t>ERM Rolling</t>
        </is>
      </c>
      <c r="C207" s="4" t="inlineStr">
        <is>
          <t>prices le · imported extra le t</t>
        </is>
      </c>
      <c r="D207" s="4" t="inlineStr">
        <is>
          <t>LE/t</t>
        </is>
      </c>
      <c r="E207" s="4" t="n">
        <v>0</v>
      </c>
      <c r="F207" s="4" t="n"/>
      <c r="G207" s="5">
        <f>IF(OR(F207="",E207=0),"",F207/E207-1)</f>
        <v/>
      </c>
    </row>
    <row r="208">
      <c r="A208" s="4" t="inlineStr">
        <is>
          <t>detail.ERM Rolling.prices_le.local_billet_t</t>
        </is>
      </c>
      <c r="B208" s="4" t="inlineStr">
        <is>
          <t>ERM Rolling</t>
        </is>
      </c>
      <c r="C208" s="4" t="inlineStr">
        <is>
          <t>prices le · local billet t</t>
        </is>
      </c>
      <c r="D208" s="4" t="inlineStr"/>
      <c r="E208" s="4" t="n">
        <v>0</v>
      </c>
      <c r="F208" s="4" t="n"/>
      <c r="G208" s="5">
        <f>IF(OR(F208="",E208=0),"",F208/E208-1)</f>
        <v/>
      </c>
    </row>
    <row r="209">
      <c r="A209" s="4" t="inlineStr">
        <is>
          <t>detail.ERM Rolling.prices_le.byproduct_t</t>
        </is>
      </c>
      <c r="B209" s="4" t="inlineStr">
        <is>
          <t>ERM Rolling</t>
        </is>
      </c>
      <c r="C209" s="4" t="inlineStr">
        <is>
          <t>prices le · byproduct t</t>
        </is>
      </c>
      <c r="D209" s="4" t="inlineStr"/>
      <c r="E209" s="4" t="n">
        <v>7111.501093131888</v>
      </c>
      <c r="F209" s="4" t="n"/>
      <c r="G209" s="5">
        <f>IF(OR(F209="",E209=0),"",F209/E209-1)</f>
        <v/>
      </c>
    </row>
    <row r="210">
      <c r="A210" s="4" t="inlineStr">
        <is>
          <t>detail.ERM Rolling.prices_le.electricity_kwh</t>
        </is>
      </c>
      <c r="B210" s="4" t="inlineStr">
        <is>
          <t>ERM Rolling</t>
        </is>
      </c>
      <c r="C210" s="4" t="inlineStr">
        <is>
          <t>prices le · electricity kwh</t>
        </is>
      </c>
      <c r="D210" s="4" t="inlineStr">
        <is>
          <t>in USD (converted at FX)</t>
        </is>
      </c>
      <c r="E210" s="4" t="n">
        <v>0.07000000000000001</v>
      </c>
      <c r="F210" s="4" t="n"/>
      <c r="G210" s="5">
        <f>IF(OR(F210="",E210=0),"",F210/E210-1)</f>
        <v/>
      </c>
    </row>
    <row r="211">
      <c r="A211" s="4" t="inlineStr">
        <is>
          <t>detail.ERM Rolling.prices_le.natural_gas_nm3</t>
        </is>
      </c>
      <c r="B211" s="4" t="inlineStr">
        <is>
          <t>ERM Rolling</t>
        </is>
      </c>
      <c r="C211" s="4" t="inlineStr">
        <is>
          <t>prices le · natural gas nm3</t>
        </is>
      </c>
      <c r="D211" s="4" t="inlineStr"/>
      <c r="E211" s="4" t="n">
        <v>4.281258524941543</v>
      </c>
      <c r="F211" s="4" t="n"/>
      <c r="G211" s="5">
        <f>IF(OR(F211="",E211=0),"",F211/E211-1)</f>
        <v/>
      </c>
    </row>
    <row r="212">
      <c r="A212" s="4" t="inlineStr">
        <is>
          <t>detail.ERM Rolling.prices_le.recycled_water_nm3</t>
        </is>
      </c>
      <c r="B212" s="4" t="inlineStr">
        <is>
          <t>ERM Rolling</t>
        </is>
      </c>
      <c r="C212" s="4" t="inlineStr">
        <is>
          <t>prices le · recycled water nm3</t>
        </is>
      </c>
      <c r="D212" s="4" t="inlineStr"/>
      <c r="E212" s="4" t="n">
        <v>13.17488795344806</v>
      </c>
      <c r="F212" s="4" t="n"/>
      <c r="G212" s="5">
        <f>IF(OR(F212="",E212=0),"",F212/E212-1)</f>
        <v/>
      </c>
    </row>
    <row r="213">
      <c r="A213" s="4" t="inlineStr">
        <is>
          <t>detail.ERM Rolling.prices_le.tying_kg</t>
        </is>
      </c>
      <c r="B213" s="4" t="inlineStr">
        <is>
          <t>ERM Rolling</t>
        </is>
      </c>
      <c r="C213" s="4" t="inlineStr">
        <is>
          <t>prices le · tying kg</t>
        </is>
      </c>
      <c r="D213" s="4" t="inlineStr"/>
      <c r="E213" s="4" t="n">
        <v>11.2490074074074</v>
      </c>
      <c r="F213" s="4" t="n"/>
      <c r="G213" s="5">
        <f>IF(OR(F213="",E213=0),"",F213/E213-1)</f>
        <v/>
      </c>
    </row>
    <row r="214">
      <c r="A214" s="4" t="inlineStr">
        <is>
          <t>detail.ERM Rolling.prices_le.chemicals_kg</t>
        </is>
      </c>
      <c r="B214" s="4" t="inlineStr">
        <is>
          <t>ERM Rolling</t>
        </is>
      </c>
      <c r="C214" s="4" t="inlineStr">
        <is>
          <t>prices le · chemicals kg</t>
        </is>
      </c>
      <c r="D214" s="4" t="inlineStr"/>
      <c r="E214" s="4" t="n">
        <v>2.51536631403504</v>
      </c>
      <c r="F214" s="4" t="n"/>
      <c r="G214" s="5">
        <f>IF(OR(F214="",E214=0),"",F214/E214-1)</f>
        <v/>
      </c>
    </row>
    <row r="215">
      <c r="A215" s="4" t="inlineStr">
        <is>
          <t>detail.ERM Rolling.prices_le.labels_rings_kg</t>
        </is>
      </c>
      <c r="B215" s="4" t="inlineStr">
        <is>
          <t>ERM Rolling</t>
        </is>
      </c>
      <c r="C215" s="4" t="inlineStr">
        <is>
          <t>prices le · labels rings kg</t>
        </is>
      </c>
      <c r="D215" s="4" t="inlineStr"/>
      <c r="E215" s="4" t="n">
        <v>7.982560772941876</v>
      </c>
      <c r="F215" s="4" t="n"/>
      <c r="G215" s="5">
        <f>IF(OR(F215="",E215=0),"",F215/E215-1)</f>
        <v/>
      </c>
    </row>
    <row r="216">
      <c r="A216" s="4" t="inlineStr">
        <is>
          <t>detail.ERM Rolling.prices_le.spare_parts_kg</t>
        </is>
      </c>
      <c r="B216" s="4" t="inlineStr">
        <is>
          <t>ERM Rolling</t>
        </is>
      </c>
      <c r="C216" s="4" t="inlineStr">
        <is>
          <t>prices le · spare parts kg</t>
        </is>
      </c>
      <c r="D216" s="4" t="inlineStr"/>
      <c r="E216" s="4" t="n">
        <v>0</v>
      </c>
      <c r="F216" s="4" t="n"/>
      <c r="G216" s="5">
        <f>IF(OR(F216="",E216=0),"",F216/E216-1)</f>
        <v/>
      </c>
    </row>
    <row r="217">
      <c r="A217" s="4" t="inlineStr">
        <is>
          <t>detail.ERM Rolling.prices_le.external_services_kg</t>
        </is>
      </c>
      <c r="B217" s="4" t="inlineStr">
        <is>
          <t>ERM Rolling</t>
        </is>
      </c>
      <c r="C217" s="4" t="inlineStr">
        <is>
          <t>prices le · external services kg</t>
        </is>
      </c>
      <c r="D217" s="4" t="inlineStr"/>
      <c r="E217" s="4" t="n">
        <v>0</v>
      </c>
      <c r="F217" s="4" t="n"/>
      <c r="G217" s="5">
        <f>IF(OR(F217="",E217=0),"",F217/E217-1)</f>
        <v/>
      </c>
    </row>
    <row r="218">
      <c r="A218" s="4" t="inlineStr">
        <is>
          <t>detail.EZDK Wire.feed_share.imported</t>
        </is>
      </c>
      <c r="B218" s="4" t="inlineStr">
        <is>
          <t>EZDK Wire</t>
        </is>
      </c>
      <c r="C218" s="4" t="inlineStr">
        <is>
          <t>feed share · imported</t>
        </is>
      </c>
      <c r="D218" s="4" t="inlineStr"/>
      <c r="E218" s="4" t="n">
        <v>0</v>
      </c>
      <c r="F218" s="4" t="n"/>
      <c r="G218" s="5">
        <f>IF(OR(F218="",E218=0),"",F218/E218-1)</f>
        <v/>
      </c>
    </row>
    <row r="219">
      <c r="A219" s="4" t="inlineStr">
        <is>
          <t>detail.EZDK Wire.feed_share.produced</t>
        </is>
      </c>
      <c r="B219" s="4" t="inlineStr">
        <is>
          <t>EZDK Wire</t>
        </is>
      </c>
      <c r="C219" s="4" t="inlineStr">
        <is>
          <t>feed share · produced</t>
        </is>
      </c>
      <c r="D219" s="4" t="inlineStr"/>
      <c r="E219" s="4" t="n">
        <v>1</v>
      </c>
      <c r="F219" s="4" t="n"/>
      <c r="G219" s="5">
        <f>IF(OR(F219="",E219=0),"",F219/E219-1)</f>
        <v/>
      </c>
    </row>
    <row r="220">
      <c r="A220" s="4" t="inlineStr">
        <is>
          <t>detail.EZDK Wire.feed_share.local</t>
        </is>
      </c>
      <c r="B220" s="4" t="inlineStr">
        <is>
          <t>EZDK Wire</t>
        </is>
      </c>
      <c r="C220" s="4" t="inlineStr">
        <is>
          <t>feed share · local</t>
        </is>
      </c>
      <c r="D220" s="4" t="inlineStr"/>
      <c r="E220" s="4" t="n">
        <v>0</v>
      </c>
      <c r="F220" s="4" t="n"/>
      <c r="G220" s="5">
        <f>IF(OR(F220="",E220=0),"",F220/E220-1)</f>
        <v/>
      </c>
    </row>
    <row r="221">
      <c r="A221" s="4" t="inlineStr">
        <is>
          <t>detail.EZDK Wire.byproduct_pct_of_feed</t>
        </is>
      </c>
      <c r="B221" s="4" t="inlineStr">
        <is>
          <t>EZDK Wire</t>
        </is>
      </c>
      <c r="C221" s="4" t="inlineStr">
        <is>
          <t>byproduct pct of feed</t>
        </is>
      </c>
      <c r="D221" s="4" t="inlineStr"/>
      <c r="E221" s="4" t="n">
        <v>-0.01844309545036382</v>
      </c>
      <c r="F221" s="4" t="n"/>
      <c r="G221" s="5">
        <f>IF(OR(F221="",E221=0),"",F221/E221-1)</f>
        <v/>
      </c>
    </row>
    <row r="222">
      <c r="A222" s="4" t="inlineStr">
        <is>
          <t>detail.EZDK Wire.consumption.electricity_kwh</t>
        </is>
      </c>
      <c r="B222" s="4" t="inlineStr">
        <is>
          <t>EZDK Wire</t>
        </is>
      </c>
      <c r="C222" s="4" t="inlineStr">
        <is>
          <t>consumption · electricity kwh</t>
        </is>
      </c>
      <c r="D222" s="4" t="inlineStr"/>
      <c r="E222" s="4" t="n">
        <v>117.8481615298883</v>
      </c>
      <c r="F222" s="4" t="n"/>
      <c r="G222" s="5">
        <f>IF(OR(F222="",E222=0),"",F222/E222-1)</f>
        <v/>
      </c>
    </row>
    <row r="223">
      <c r="A223" s="4" t="inlineStr">
        <is>
          <t>detail.EZDK Wire.consumption.natural_gas_nm3</t>
        </is>
      </c>
      <c r="B223" s="4" t="inlineStr">
        <is>
          <t>EZDK Wire</t>
        </is>
      </c>
      <c r="C223" s="4" t="inlineStr">
        <is>
          <t>consumption · natural gas nm3</t>
        </is>
      </c>
      <c r="D223" s="4" t="inlineStr"/>
      <c r="E223" s="4" t="n">
        <v>30.69509970330357</v>
      </c>
      <c r="F223" s="4" t="n"/>
      <c r="G223" s="5">
        <f>IF(OR(F223="",E223=0),"",F223/E223-1)</f>
        <v/>
      </c>
    </row>
    <row r="224">
      <c r="A224" s="4" t="inlineStr">
        <is>
          <t>detail.EZDK Wire.consumption.recycled_water_nm3</t>
        </is>
      </c>
      <c r="B224" s="4" t="inlineStr">
        <is>
          <t>EZDK Wire</t>
        </is>
      </c>
      <c r="C224" s="4" t="inlineStr">
        <is>
          <t>consumption · recycled water nm3</t>
        </is>
      </c>
      <c r="D224" s="4" t="inlineStr"/>
      <c r="E224" s="4" t="n">
        <v>0.929028719885717</v>
      </c>
      <c r="F224" s="4" t="n"/>
      <c r="G224" s="5">
        <f>IF(OR(F224="",E224=0),"",F224/E224-1)</f>
        <v/>
      </c>
    </row>
    <row r="225">
      <c r="A225" s="4" t="inlineStr">
        <is>
          <t>detail.EZDK Wire.consumption.tying_kg</t>
        </is>
      </c>
      <c r="B225" s="4" t="inlineStr">
        <is>
          <t>EZDK Wire</t>
        </is>
      </c>
      <c r="C225" s="4" t="inlineStr">
        <is>
          <t>consumption · tying kg</t>
        </is>
      </c>
      <c r="D225" s="4" t="inlineStr"/>
      <c r="E225" s="4" t="n">
        <v>1.863348429138124</v>
      </c>
      <c r="F225" s="4" t="n"/>
      <c r="G225" s="5">
        <f>IF(OR(F225="",E225=0),"",F225/E225-1)</f>
        <v/>
      </c>
    </row>
    <row r="226">
      <c r="A226" s="4" t="inlineStr">
        <is>
          <t>detail.EZDK Wire.consumption.chemicals_kg</t>
        </is>
      </c>
      <c r="B226" s="4" t="inlineStr">
        <is>
          <t>EZDK Wire</t>
        </is>
      </c>
      <c r="C226" s="4" t="inlineStr">
        <is>
          <t>consumption · chemicals kg</t>
        </is>
      </c>
      <c r="D226" s="4" t="inlineStr"/>
      <c r="E226" s="4" t="n">
        <v>0.713573881798763</v>
      </c>
      <c r="F226" s="4" t="n"/>
      <c r="G226" s="5">
        <f>IF(OR(F226="",E226=0),"",F226/E226-1)</f>
        <v/>
      </c>
    </row>
    <row r="227">
      <c r="A227" s="4" t="inlineStr">
        <is>
          <t>detail.EZDK Wire.consumption.labels_rings_kg</t>
        </is>
      </c>
      <c r="B227" s="4" t="inlineStr">
        <is>
          <t>EZDK Wire</t>
        </is>
      </c>
      <c r="C227" s="4" t="inlineStr">
        <is>
          <t>consumption · labels rings kg</t>
        </is>
      </c>
      <c r="D227" s="4" t="inlineStr"/>
      <c r="E227" s="4" t="n">
        <v>0.7135738817987619</v>
      </c>
      <c r="F227" s="4" t="n"/>
      <c r="G227" s="5">
        <f>IF(OR(F227="",E227=0),"",F227/E227-1)</f>
        <v/>
      </c>
    </row>
    <row r="228">
      <c r="A228" s="4" t="inlineStr">
        <is>
          <t>detail.EZDK Wire.consumption.spare_parts_kg</t>
        </is>
      </c>
      <c r="B228" s="4" t="inlineStr">
        <is>
          <t>EZDK Wire</t>
        </is>
      </c>
      <c r="C228" s="4" t="inlineStr">
        <is>
          <t>consumption · spare parts kg</t>
        </is>
      </c>
      <c r="D228" s="4" t="inlineStr"/>
      <c r="E228" s="4" t="n">
        <v>0</v>
      </c>
      <c r="F228" s="4" t="n"/>
      <c r="G228" s="5">
        <f>IF(OR(F228="",E228=0),"",F228/E228-1)</f>
        <v/>
      </c>
    </row>
    <row r="229">
      <c r="A229" s="4" t="inlineStr">
        <is>
          <t>detail.EZDK Wire.consumption.external_services_kg</t>
        </is>
      </c>
      <c r="B229" s="4" t="inlineStr">
        <is>
          <t>EZDK Wire</t>
        </is>
      </c>
      <c r="C229" s="4" t="inlineStr">
        <is>
          <t>consumption · external services kg</t>
        </is>
      </c>
      <c r="D229" s="4" t="inlineStr"/>
      <c r="E229" s="4" t="n">
        <v>0</v>
      </c>
      <c r="F229" s="4" t="n"/>
      <c r="G229" s="5">
        <f>IF(OR(F229="",E229=0),"",F229/E229-1)</f>
        <v/>
      </c>
    </row>
    <row r="230">
      <c r="A230" s="4" t="inlineStr">
        <is>
          <t>detail.EZDK Wire.prices_le.imported_billet_usd_t</t>
        </is>
      </c>
      <c r="B230" s="4" t="inlineStr">
        <is>
          <t>EZDK Wire</t>
        </is>
      </c>
      <c r="C230" s="4" t="inlineStr">
        <is>
          <t>prices le · imported billet usd t</t>
        </is>
      </c>
      <c r="D230" s="4" t="inlineStr">
        <is>
          <t>$/t</t>
        </is>
      </c>
      <c r="E230" s="4" t="n">
        <v>0</v>
      </c>
      <c r="F230" s="4" t="n"/>
      <c r="G230" s="5">
        <f>IF(OR(F230="",E230=0),"",F230/E230-1)</f>
        <v/>
      </c>
    </row>
    <row r="231">
      <c r="A231" s="4" t="inlineStr">
        <is>
          <t>detail.EZDK Wire.prices_le.imported_extra_le_t</t>
        </is>
      </c>
      <c r="B231" s="4" t="inlineStr">
        <is>
          <t>EZDK Wire</t>
        </is>
      </c>
      <c r="C231" s="4" t="inlineStr">
        <is>
          <t>prices le · imported extra le t</t>
        </is>
      </c>
      <c r="D231" s="4" t="inlineStr">
        <is>
          <t>LE/t</t>
        </is>
      </c>
      <c r="E231" s="4" t="n">
        <v>0</v>
      </c>
      <c r="F231" s="4" t="n"/>
      <c r="G231" s="5">
        <f>IF(OR(F231="",E231=0),"",F231/E231-1)</f>
        <v/>
      </c>
    </row>
    <row r="232">
      <c r="A232" s="4" t="inlineStr">
        <is>
          <t>detail.EZDK Wire.prices_le.local_billet_t</t>
        </is>
      </c>
      <c r="B232" s="4" t="inlineStr">
        <is>
          <t>EZDK Wire</t>
        </is>
      </c>
      <c r="C232" s="4" t="inlineStr">
        <is>
          <t>prices le · local billet t</t>
        </is>
      </c>
      <c r="D232" s="4" t="inlineStr"/>
      <c r="E232" s="4" t="n">
        <v>0</v>
      </c>
      <c r="F232" s="4" t="n"/>
      <c r="G232" s="5">
        <f>IF(OR(F232="",E232=0),"",F232/E232-1)</f>
        <v/>
      </c>
    </row>
    <row r="233">
      <c r="A233" s="4" t="inlineStr">
        <is>
          <t>detail.EZDK Wire.prices_le.byproduct_t</t>
        </is>
      </c>
      <c r="B233" s="4" t="inlineStr">
        <is>
          <t>EZDK Wire</t>
        </is>
      </c>
      <c r="C233" s="4" t="inlineStr">
        <is>
          <t>prices le · byproduct t</t>
        </is>
      </c>
      <c r="D233" s="4" t="inlineStr"/>
      <c r="E233" s="4" t="n">
        <v>5132.926777653943</v>
      </c>
      <c r="F233" s="4" t="n"/>
      <c r="G233" s="5">
        <f>IF(OR(F233="",E233=0),"",F233/E233-1)</f>
        <v/>
      </c>
    </row>
    <row r="234">
      <c r="A234" s="4" t="inlineStr">
        <is>
          <t>detail.EZDK Wire.prices_le.electricity_kwh</t>
        </is>
      </c>
      <c r="B234" s="4" t="inlineStr">
        <is>
          <t>EZDK Wire</t>
        </is>
      </c>
      <c r="C234" s="4" t="inlineStr">
        <is>
          <t>prices le · electricity kwh</t>
        </is>
      </c>
      <c r="D234" s="4" t="inlineStr">
        <is>
          <t>in USD (converted at FX)</t>
        </is>
      </c>
      <c r="E234" s="4" t="n">
        <v>0.07000000000000001</v>
      </c>
      <c r="F234" s="4" t="n"/>
      <c r="G234" s="5">
        <f>IF(OR(F234="",E234=0),"",F234/E234-1)</f>
        <v/>
      </c>
    </row>
    <row r="235">
      <c r="A235" s="4" t="inlineStr">
        <is>
          <t>detail.EZDK Wire.prices_le.natural_gas_nm3</t>
        </is>
      </c>
      <c r="B235" s="4" t="inlineStr">
        <is>
          <t>EZDK Wire</t>
        </is>
      </c>
      <c r="C235" s="4" t="inlineStr">
        <is>
          <t>prices le · natural gas nm3</t>
        </is>
      </c>
      <c r="D235" s="4" t="inlineStr"/>
      <c r="E235" s="4" t="n">
        <v>4.281258524941543</v>
      </c>
      <c r="F235" s="4" t="n"/>
      <c r="G235" s="5">
        <f>IF(OR(F235="",E235=0),"",F235/E235-1)</f>
        <v/>
      </c>
    </row>
    <row r="236">
      <c r="A236" s="4" t="inlineStr">
        <is>
          <t>detail.EZDK Wire.prices_le.recycled_water_nm3</t>
        </is>
      </c>
      <c r="B236" s="4" t="inlineStr">
        <is>
          <t>EZDK Wire</t>
        </is>
      </c>
      <c r="C236" s="4" t="inlineStr">
        <is>
          <t>prices le · recycled water nm3</t>
        </is>
      </c>
      <c r="D236" s="4" t="inlineStr"/>
      <c r="E236" s="4" t="n">
        <v>13.17488795344806</v>
      </c>
      <c r="F236" s="4" t="n"/>
      <c r="G236" s="5">
        <f>IF(OR(F236="",E236=0),"",F236/E236-1)</f>
        <v/>
      </c>
    </row>
    <row r="237">
      <c r="A237" s="4" t="inlineStr">
        <is>
          <t>detail.EZDK Wire.prices_le.tying_kg</t>
        </is>
      </c>
      <c r="B237" s="4" t="inlineStr">
        <is>
          <t>EZDK Wire</t>
        </is>
      </c>
      <c r="C237" s="4" t="inlineStr">
        <is>
          <t>prices le · tying kg</t>
        </is>
      </c>
      <c r="D237" s="4" t="inlineStr"/>
      <c r="E237" s="4" t="n">
        <v>11.2490074074074</v>
      </c>
      <c r="F237" s="4" t="n"/>
      <c r="G237" s="5">
        <f>IF(OR(F237="",E237=0),"",F237/E237-1)</f>
        <v/>
      </c>
    </row>
    <row r="238">
      <c r="A238" s="4" t="inlineStr">
        <is>
          <t>detail.EZDK Wire.prices_le.chemicals_kg</t>
        </is>
      </c>
      <c r="B238" s="4" t="inlineStr">
        <is>
          <t>EZDK Wire</t>
        </is>
      </c>
      <c r="C238" s="4" t="inlineStr">
        <is>
          <t>prices le · chemicals kg</t>
        </is>
      </c>
      <c r="D238" s="4" t="inlineStr"/>
      <c r="E238" s="4" t="n">
        <v>2.51536631403504</v>
      </c>
      <c r="F238" s="4" t="n"/>
      <c r="G238" s="5">
        <f>IF(OR(F238="",E238=0),"",F238/E238-1)</f>
        <v/>
      </c>
    </row>
    <row r="239">
      <c r="A239" s="4" t="inlineStr">
        <is>
          <t>detail.EZDK Wire.prices_le.labels_rings_kg</t>
        </is>
      </c>
      <c r="B239" s="4" t="inlineStr">
        <is>
          <t>EZDK Wire</t>
        </is>
      </c>
      <c r="C239" s="4" t="inlineStr">
        <is>
          <t>prices le · labels rings kg</t>
        </is>
      </c>
      <c r="D239" s="4" t="inlineStr"/>
      <c r="E239" s="4" t="n">
        <v>7.982560772941876</v>
      </c>
      <c r="F239" s="4" t="n"/>
      <c r="G239" s="5">
        <f>IF(OR(F239="",E239=0),"",F239/E239-1)</f>
        <v/>
      </c>
    </row>
    <row r="240">
      <c r="A240" s="4" t="inlineStr">
        <is>
          <t>detail.EZDK Wire.prices_le.spare_parts_kg</t>
        </is>
      </c>
      <c r="B240" s="4" t="inlineStr">
        <is>
          <t>EZDK Wire</t>
        </is>
      </c>
      <c r="C240" s="4" t="inlineStr">
        <is>
          <t>prices le · spare parts kg</t>
        </is>
      </c>
      <c r="D240" s="4" t="inlineStr"/>
      <c r="E240" s="4" t="n">
        <v>0</v>
      </c>
      <c r="F240" s="4" t="n"/>
      <c r="G240" s="5">
        <f>IF(OR(F240="",E240=0),"",F240/E240-1)</f>
        <v/>
      </c>
    </row>
    <row r="241">
      <c r="A241" s="4" t="inlineStr">
        <is>
          <t>detail.EZDK Wire.prices_le.external_services_kg</t>
        </is>
      </c>
      <c r="B241" s="4" t="inlineStr">
        <is>
          <t>EZDK Wire</t>
        </is>
      </c>
      <c r="C241" s="4" t="inlineStr">
        <is>
          <t>prices le · external services kg</t>
        </is>
      </c>
      <c r="D241" s="4" t="inlineStr"/>
      <c r="E241" s="4" t="n">
        <v>0</v>
      </c>
      <c r="F241" s="4" t="n"/>
      <c r="G241" s="5">
        <f>IF(OR(F241="",E241=0),"",F241/E241-1)</f>
        <v/>
      </c>
    </row>
    <row r="242">
      <c r="A242" s="4" t="n"/>
      <c r="B242" s="4" t="n"/>
      <c r="C242" s="6" t="inlineStr">
        <is>
          <t>Blend total EZDK flat (must be 100)</t>
        </is>
      </c>
      <c r="D242" s="4" t="n"/>
      <c r="E242" s="4" t="n"/>
      <c r="F242" s="4">
        <f>IF(F5="",E5,F5)+IF(F6="",E6,F6)+IF(F7="",E7,F7)</f>
        <v/>
      </c>
      <c r="G242" s="4">
        <f>IF(ABS(F242-100)&lt;0.01,"OK","CHECK")</f>
        <v/>
      </c>
    </row>
    <row r="243">
      <c r="A243" s="4" t="n"/>
      <c r="B243" s="4" t="n"/>
      <c r="C243" s="6" t="inlineStr">
        <is>
          <t>Blend total EFS flat (must be 100)</t>
        </is>
      </c>
      <c r="D243" s="4" t="n"/>
      <c r="E243" s="4" t="n"/>
      <c r="F243" s="4">
        <f>IF(F15="",E15,F15)+IF(F16="",E16,F16)+IF(F17="",E17,F17)</f>
        <v/>
      </c>
      <c r="G243" s="4">
        <f>IF(ABS(F243-100)&lt;0.01,"OK","CHECK")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1" max="1"/>
    <col width="16" customWidth="1" min="2" max="2"/>
    <col width="58" customWidth="1" min="3" max="3"/>
    <col width="24" customWidth="1" min="4" max="4"/>
    <col width="20" customWidth="1" min="5" max="5"/>
    <col width="16" customWidth="1" min="6" max="6"/>
    <col width="10" customWidth="1" min="7" max="7"/>
  </cols>
  <sheetData>
    <row r="1">
      <c r="A1" s="3" t="inlineStr">
        <is>
          <t>Path</t>
        </is>
      </c>
      <c r="B1" s="3" t="inlineStr">
        <is>
          <t>Company / line</t>
        </is>
      </c>
      <c r="C1" s="3" t="inlineStr">
        <is>
          <t>Input</t>
        </is>
      </c>
      <c r="D1" s="3" t="inlineStr">
        <is>
          <t>Unit</t>
        </is>
      </c>
      <c r="E1" s="3" t="inlineStr">
        <is>
          <t>Last month (read-only)</t>
        </is>
      </c>
      <c r="F1" s="3" t="inlineStr">
        <is>
          <t>This month</t>
        </is>
      </c>
      <c r="G1" s="3" t="inlineStr">
        <is>
          <t>% change</t>
        </is>
      </c>
    </row>
    <row r="2">
      <c r="A2" s="4" t="inlineStr">
        <is>
          <t>sales.EZDK.Rebar.local_kt</t>
        </is>
      </c>
      <c r="B2" s="4" t="inlineStr">
        <is>
          <t>EZDK</t>
        </is>
      </c>
      <c r="C2" s="4" t="inlineStr">
        <is>
          <t>Rebar · local kt</t>
        </is>
      </c>
      <c r="D2" s="4" t="inlineStr">
        <is>
          <t>kt</t>
        </is>
      </c>
      <c r="E2" s="4" t="n">
        <v>100</v>
      </c>
      <c r="F2" s="4" t="n"/>
      <c r="G2" s="5">
        <f>IF(OR(F2="",E2=0),"",F2/E2-1)</f>
        <v/>
      </c>
      <c r="H2" s="4" t="n"/>
    </row>
    <row r="3">
      <c r="A3" s="4" t="inlineStr">
        <is>
          <t>sales.EZDK.Rebar.export_kt</t>
        </is>
      </c>
      <c r="B3" s="4" t="inlineStr">
        <is>
          <t>EZDK</t>
        </is>
      </c>
      <c r="C3" s="4" t="inlineStr">
        <is>
          <t>Rebar · export kt</t>
        </is>
      </c>
      <c r="D3" s="4" t="inlineStr">
        <is>
          <t>kt</t>
        </is>
      </c>
      <c r="E3" s="4" t="n">
        <v>0</v>
      </c>
      <c r="F3" s="4" t="n"/>
      <c r="G3" s="5">
        <f>IF(OR(F3="",E3=0),"",F3/E3-1)</f>
        <v/>
      </c>
      <c r="H3" s="4" t="n"/>
    </row>
    <row r="4">
      <c r="A4" s="4" t="inlineStr">
        <is>
          <t>sales.EZDK.Rebar.local_price_le_t</t>
        </is>
      </c>
      <c r="B4" s="4" t="inlineStr">
        <is>
          <t>EZDK</t>
        </is>
      </c>
      <c r="C4" s="4" t="inlineStr">
        <is>
          <t>Rebar · local price le t</t>
        </is>
      </c>
      <c r="D4" s="4" t="inlineStr">
        <is>
          <t>LE/t</t>
        </is>
      </c>
      <c r="E4" s="4" t="n">
        <v>9300</v>
      </c>
      <c r="F4" s="4" t="n"/>
      <c r="G4" s="5">
        <f>IF(OR(F4="",E4=0),"",F4/E4-1)</f>
        <v/>
      </c>
      <c r="H4" s="4" t="n"/>
    </row>
    <row r="5">
      <c r="A5" s="4" t="inlineStr">
        <is>
          <t>sales.EZDK.Rebar.export_price_usd_t</t>
        </is>
      </c>
      <c r="B5" s="4" t="inlineStr">
        <is>
          <t>EZDK</t>
        </is>
      </c>
      <c r="C5" s="4" t="inlineStr">
        <is>
          <t>Rebar · export price usd t</t>
        </is>
      </c>
      <c r="D5" s="4" t="inlineStr">
        <is>
          <t>$/t</t>
        </is>
      </c>
      <c r="E5" s="4" t="n">
        <v>490</v>
      </c>
      <c r="F5" s="4" t="n"/>
      <c r="G5" s="5">
        <f>IF(OR(F5="",E5=0),"",F5/E5-1)</f>
        <v/>
      </c>
      <c r="H5" s="4" t="n"/>
    </row>
    <row r="6">
      <c r="A6" s="4" t="inlineStr">
        <is>
          <t>sales.EZDK.Wire Rod.local_kt</t>
        </is>
      </c>
      <c r="B6" s="4" t="inlineStr">
        <is>
          <t>EZDK</t>
        </is>
      </c>
      <c r="C6" s="4" t="inlineStr">
        <is>
          <t>Wire Rod · local kt</t>
        </is>
      </c>
      <c r="D6" s="4" t="inlineStr">
        <is>
          <t>kt</t>
        </is>
      </c>
      <c r="E6" s="4" t="n">
        <v>40</v>
      </c>
      <c r="F6" s="4" t="n"/>
      <c r="G6" s="5">
        <f>IF(OR(F6="",E6=0),"",F6/E6-1)</f>
        <v/>
      </c>
      <c r="H6" s="4" t="n"/>
    </row>
    <row r="7">
      <c r="A7" s="4" t="inlineStr">
        <is>
          <t>sales.EZDK.Wire Rod.export_kt</t>
        </is>
      </c>
      <c r="B7" s="4" t="inlineStr">
        <is>
          <t>EZDK</t>
        </is>
      </c>
      <c r="C7" s="4" t="inlineStr">
        <is>
          <t>Wire Rod · export kt</t>
        </is>
      </c>
      <c r="D7" s="4" t="inlineStr">
        <is>
          <t>kt</t>
        </is>
      </c>
      <c r="E7" s="4" t="n">
        <v>10</v>
      </c>
      <c r="F7" s="4" t="n"/>
      <c r="G7" s="5">
        <f>IF(OR(F7="",E7=0),"",F7/E7-1)</f>
        <v/>
      </c>
      <c r="H7" s="4" t="n"/>
    </row>
    <row r="8">
      <c r="A8" s="4" t="inlineStr">
        <is>
          <t>sales.EZDK.Wire Rod.local_price_le_t</t>
        </is>
      </c>
      <c r="B8" s="4" t="inlineStr">
        <is>
          <t>EZDK</t>
        </is>
      </c>
      <c r="C8" s="4" t="inlineStr">
        <is>
          <t>Wire Rod · local price le t</t>
        </is>
      </c>
      <c r="D8" s="4" t="inlineStr">
        <is>
          <t>LE/t</t>
        </is>
      </c>
      <c r="E8" s="4" t="n">
        <v>9075</v>
      </c>
      <c r="F8" s="4" t="n"/>
      <c r="G8" s="5">
        <f>IF(OR(F8="",E8=0),"",F8/E8-1)</f>
        <v/>
      </c>
      <c r="H8" s="4" t="n"/>
    </row>
    <row r="9">
      <c r="A9" s="4" t="inlineStr">
        <is>
          <t>sales.EZDK.Wire Rod.export_price_usd_t</t>
        </is>
      </c>
      <c r="B9" s="4" t="inlineStr">
        <is>
          <t>EZDK</t>
        </is>
      </c>
      <c r="C9" s="4" t="inlineStr">
        <is>
          <t>Wire Rod · export price usd t</t>
        </is>
      </c>
      <c r="D9" s="4" t="inlineStr">
        <is>
          <t>$/t</t>
        </is>
      </c>
      <c r="E9" s="4" t="n">
        <v>480</v>
      </c>
      <c r="F9" s="4" t="n"/>
      <c r="G9" s="5">
        <f>IF(OR(F9="",E9=0),"",F9/E9-1)</f>
        <v/>
      </c>
      <c r="H9" s="4" t="n"/>
    </row>
    <row r="10">
      <c r="A10" s="4" t="inlineStr">
        <is>
          <t>sales.EZDK.HRC.local_kt</t>
        </is>
      </c>
      <c r="B10" s="4" t="inlineStr">
        <is>
          <t>EZDK</t>
        </is>
      </c>
      <c r="C10" s="4" t="inlineStr">
        <is>
          <t>HRC · local kt</t>
        </is>
      </c>
      <c r="D10" s="4" t="inlineStr">
        <is>
          <t>kt</t>
        </is>
      </c>
      <c r="E10" s="4" t="n">
        <v>45</v>
      </c>
      <c r="F10" s="4" t="n"/>
      <c r="G10" s="5">
        <f>IF(OR(F10="",E10=0),"",F10/E10-1)</f>
        <v/>
      </c>
      <c r="H10" s="4" t="n"/>
    </row>
    <row r="11">
      <c r="A11" s="4" t="inlineStr">
        <is>
          <t>sales.EZDK.HRC.export_kt</t>
        </is>
      </c>
      <c r="B11" s="4" t="inlineStr">
        <is>
          <t>EZDK</t>
        </is>
      </c>
      <c r="C11" s="4" t="inlineStr">
        <is>
          <t>HRC · export kt</t>
        </is>
      </c>
      <c r="D11" s="4" t="inlineStr">
        <is>
          <t>kt</t>
        </is>
      </c>
      <c r="E11" s="4" t="n">
        <v>40</v>
      </c>
      <c r="F11" s="4" t="n"/>
      <c r="G11" s="5">
        <f>IF(OR(F11="",E11=0),"",F11/E11-1)</f>
        <v/>
      </c>
      <c r="H11" s="4" t="n"/>
    </row>
    <row r="12">
      <c r="A12" s="4" t="inlineStr">
        <is>
          <t>sales.EZDK.HRC.local_price_le_t</t>
        </is>
      </c>
      <c r="B12" s="4" t="inlineStr">
        <is>
          <t>EZDK</t>
        </is>
      </c>
      <c r="C12" s="4" t="inlineStr">
        <is>
          <t>HRC · local price le t</t>
        </is>
      </c>
      <c r="D12" s="4" t="inlineStr">
        <is>
          <t>LE/t</t>
        </is>
      </c>
      <c r="E12" s="4" t="n">
        <v>8900</v>
      </c>
      <c r="F12" s="4" t="n"/>
      <c r="G12" s="5">
        <f>IF(OR(F12="",E12=0),"",F12/E12-1)</f>
        <v/>
      </c>
      <c r="H12" s="4" t="n"/>
    </row>
    <row r="13">
      <c r="A13" s="4" t="inlineStr">
        <is>
          <t>sales.EZDK.HRC.export_price_usd_t</t>
        </is>
      </c>
      <c r="B13" s="4" t="inlineStr">
        <is>
          <t>EZDK</t>
        </is>
      </c>
      <c r="C13" s="4" t="inlineStr">
        <is>
          <t>HRC · export price usd t</t>
        </is>
      </c>
      <c r="D13" s="4" t="inlineStr">
        <is>
          <t>$/t</t>
        </is>
      </c>
      <c r="E13" s="4" t="n">
        <v>510</v>
      </c>
      <c r="F13" s="4" t="n"/>
      <c r="G13" s="5">
        <f>IF(OR(F13="",E13=0),"",F13/E13-1)</f>
        <v/>
      </c>
      <c r="H13" s="4" t="n"/>
    </row>
    <row r="14">
      <c r="A14" s="4" t="inlineStr">
        <is>
          <t>sales.EFS.Rebar.local_kt</t>
        </is>
      </c>
      <c r="B14" s="4" t="inlineStr">
        <is>
          <t>EFS</t>
        </is>
      </c>
      <c r="C14" s="4" t="inlineStr">
        <is>
          <t>Rebar · local kt</t>
        </is>
      </c>
      <c r="D14" s="4" t="inlineStr">
        <is>
          <t>kt</t>
        </is>
      </c>
      <c r="E14" s="4" t="n">
        <v>70</v>
      </c>
      <c r="F14" s="4" t="n"/>
      <c r="G14" s="5">
        <f>IF(OR(F14="",E14=0),"",F14/E14-1)</f>
        <v/>
      </c>
      <c r="H14" s="4" t="n"/>
    </row>
    <row r="15">
      <c r="A15" s="4" t="inlineStr">
        <is>
          <t>sales.EFS.Rebar.export_kt</t>
        </is>
      </c>
      <c r="B15" s="4" t="inlineStr">
        <is>
          <t>EFS</t>
        </is>
      </c>
      <c r="C15" s="4" t="inlineStr">
        <is>
          <t>Rebar · export kt</t>
        </is>
      </c>
      <c r="D15" s="4" t="inlineStr">
        <is>
          <t>kt</t>
        </is>
      </c>
      <c r="E15" s="4" t="n">
        <v>0</v>
      </c>
      <c r="F15" s="4" t="n"/>
      <c r="G15" s="5">
        <f>IF(OR(F15="",E15=0),"",F15/E15-1)</f>
        <v/>
      </c>
      <c r="H15" s="4" t="n"/>
    </row>
    <row r="16">
      <c r="A16" s="4" t="inlineStr">
        <is>
          <t>sales.EFS.Rebar.local_price_le_t</t>
        </is>
      </c>
      <c r="B16" s="4" t="inlineStr">
        <is>
          <t>EFS</t>
        </is>
      </c>
      <c r="C16" s="4" t="inlineStr">
        <is>
          <t>Rebar · local price le t</t>
        </is>
      </c>
      <c r="D16" s="4" t="inlineStr">
        <is>
          <t>LE/t</t>
        </is>
      </c>
      <c r="E16" s="4" t="n">
        <v>9300</v>
      </c>
      <c r="F16" s="4" t="n"/>
      <c r="G16" s="5">
        <f>IF(OR(F16="",E16=0),"",F16/E16-1)</f>
        <v/>
      </c>
      <c r="H16" s="4" t="n"/>
    </row>
    <row r="17">
      <c r="A17" s="4" t="inlineStr">
        <is>
          <t>sales.EFS.Rebar.export_price_usd_t</t>
        </is>
      </c>
      <c r="B17" s="4" t="inlineStr">
        <is>
          <t>EFS</t>
        </is>
      </c>
      <c r="C17" s="4" t="inlineStr">
        <is>
          <t>Rebar · export price usd t</t>
        </is>
      </c>
      <c r="D17" s="4" t="inlineStr">
        <is>
          <t>$/t</t>
        </is>
      </c>
      <c r="E17" s="4" t="n">
        <v>490</v>
      </c>
      <c r="F17" s="4" t="n"/>
      <c r="G17" s="5">
        <f>IF(OR(F17="",E17=0),"",F17/E17-1)</f>
        <v/>
      </c>
      <c r="H17" s="4" t="n"/>
    </row>
    <row r="18">
      <c r="A18" s="4" t="inlineStr">
        <is>
          <t>sales.EFS.HRC.local_kt</t>
        </is>
      </c>
      <c r="B18" s="4" t="inlineStr">
        <is>
          <t>EFS</t>
        </is>
      </c>
      <c r="C18" s="4" t="inlineStr">
        <is>
          <t>HRC · local kt</t>
        </is>
      </c>
      <c r="D18" s="4" t="inlineStr">
        <is>
          <t>kt</t>
        </is>
      </c>
      <c r="E18" s="4" t="n">
        <v>7.5</v>
      </c>
      <c r="F18" s="4" t="n"/>
      <c r="G18" s="5">
        <f>IF(OR(F18="",E18=0),"",F18/E18-1)</f>
        <v/>
      </c>
      <c r="H18" s="4" t="n"/>
    </row>
    <row r="19">
      <c r="A19" s="4" t="inlineStr">
        <is>
          <t>sales.EFS.HRC.export_kt</t>
        </is>
      </c>
      <c r="B19" s="4" t="inlineStr">
        <is>
          <t>EFS</t>
        </is>
      </c>
      <c r="C19" s="4" t="inlineStr">
        <is>
          <t>HRC · export kt</t>
        </is>
      </c>
      <c r="D19" s="4" t="inlineStr">
        <is>
          <t>kt</t>
        </is>
      </c>
      <c r="E19" s="4" t="n">
        <v>7.5</v>
      </c>
      <c r="F19" s="4" t="n"/>
      <c r="G19" s="5">
        <f>IF(OR(F19="",E19=0),"",F19/E19-1)</f>
        <v/>
      </c>
      <c r="H19" s="4" t="n"/>
    </row>
    <row r="20">
      <c r="A20" s="4" t="inlineStr">
        <is>
          <t>sales.EFS.HRC.local_price_le_t</t>
        </is>
      </c>
      <c r="B20" s="4" t="inlineStr">
        <is>
          <t>EFS</t>
        </is>
      </c>
      <c r="C20" s="4" t="inlineStr">
        <is>
          <t>HRC · local price le t</t>
        </is>
      </c>
      <c r="D20" s="4" t="inlineStr">
        <is>
          <t>LE/t</t>
        </is>
      </c>
      <c r="E20" s="4" t="n">
        <v>8900</v>
      </c>
      <c r="F20" s="4" t="n"/>
      <c r="G20" s="5">
        <f>IF(OR(F20="",E20=0),"",F20/E20-1)</f>
        <v/>
      </c>
      <c r="H20" s="4" t="n"/>
    </row>
    <row r="21">
      <c r="A21" s="4" t="inlineStr">
        <is>
          <t>sales.EFS.HRC.export_price_usd_t</t>
        </is>
      </c>
      <c r="B21" s="4" t="inlineStr">
        <is>
          <t>EFS</t>
        </is>
      </c>
      <c r="C21" s="4" t="inlineStr">
        <is>
          <t>HRC · export price usd t</t>
        </is>
      </c>
      <c r="D21" s="4" t="inlineStr">
        <is>
          <t>$/t</t>
        </is>
      </c>
      <c r="E21" s="4" t="n">
        <v>510</v>
      </c>
      <c r="F21" s="4" t="n"/>
      <c r="G21" s="5">
        <f>IF(OR(F21="",E21=0),"",F21/E21-1)</f>
        <v/>
      </c>
      <c r="H21" s="4" t="n"/>
    </row>
    <row r="22">
      <c r="A22" s="4" t="inlineStr">
        <is>
          <t>sales.ERM.Rebar.local_kt</t>
        </is>
      </c>
      <c r="B22" s="4" t="inlineStr">
        <is>
          <t>ERM</t>
        </is>
      </c>
      <c r="C22" s="4" t="inlineStr">
        <is>
          <t>Rebar · local kt</t>
        </is>
      </c>
      <c r="D22" s="4" t="inlineStr">
        <is>
          <t>kt</t>
        </is>
      </c>
      <c r="E22" s="4" t="n">
        <v>30</v>
      </c>
      <c r="F22" s="4" t="n"/>
      <c r="G22" s="5">
        <f>IF(OR(F22="",E22=0),"",F22/E22-1)</f>
        <v/>
      </c>
      <c r="H22" s="4" t="n"/>
    </row>
    <row r="23">
      <c r="A23" s="4" t="inlineStr">
        <is>
          <t>sales.ERM.Rebar.export_kt</t>
        </is>
      </c>
      <c r="B23" s="4" t="inlineStr">
        <is>
          <t>ERM</t>
        </is>
      </c>
      <c r="C23" s="4" t="inlineStr">
        <is>
          <t>Rebar · export kt</t>
        </is>
      </c>
      <c r="D23" s="4" t="inlineStr">
        <is>
          <t>kt</t>
        </is>
      </c>
      <c r="E23" s="4" t="n">
        <v>0</v>
      </c>
      <c r="F23" s="4" t="n"/>
      <c r="G23" s="5">
        <f>IF(OR(F23="",E23=0),"",F23/E23-1)</f>
        <v/>
      </c>
      <c r="H23" s="4" t="n"/>
    </row>
    <row r="24">
      <c r="A24" s="4" t="inlineStr">
        <is>
          <t>sales.ERM.Rebar.local_price_le_t</t>
        </is>
      </c>
      <c r="B24" s="4" t="inlineStr">
        <is>
          <t>ERM</t>
        </is>
      </c>
      <c r="C24" s="4" t="inlineStr">
        <is>
          <t>Rebar · local price le t</t>
        </is>
      </c>
      <c r="D24" s="4" t="inlineStr">
        <is>
          <t>LE/t</t>
        </is>
      </c>
      <c r="E24" s="4" t="n">
        <v>9300</v>
      </c>
      <c r="F24" s="4" t="n"/>
      <c r="G24" s="5">
        <f>IF(OR(F24="",E24=0),"",F24/E24-1)</f>
        <v/>
      </c>
      <c r="H24" s="4" t="n"/>
    </row>
    <row r="25">
      <c r="A25" s="4" t="inlineStr">
        <is>
          <t>sales.ERM.Rebar.export_price_usd_t</t>
        </is>
      </c>
      <c r="B25" s="4" t="inlineStr">
        <is>
          <t>ERM</t>
        </is>
      </c>
      <c r="C25" s="4" t="inlineStr">
        <is>
          <t>Rebar · export price usd t</t>
        </is>
      </c>
      <c r="D25" s="4" t="inlineStr">
        <is>
          <t>$/t</t>
        </is>
      </c>
      <c r="E25" s="4" t="n">
        <v>490</v>
      </c>
      <c r="F25" s="4" t="n"/>
      <c r="G25" s="5">
        <f>IF(OR(F25="",E25=0),"",F25/E25-1)</f>
        <v/>
      </c>
      <c r="H25" s="4" t="n"/>
    </row>
    <row r="26">
      <c r="A26" s="4" t="inlineStr">
        <is>
          <t>sales.ESR.Rebar.local_kt</t>
        </is>
      </c>
      <c r="B26" s="4" t="inlineStr">
        <is>
          <t>ESR</t>
        </is>
      </c>
      <c r="C26" s="4" t="inlineStr">
        <is>
          <t>Rebar · local kt</t>
        </is>
      </c>
      <c r="D26" s="4" t="inlineStr">
        <is>
          <t>kt</t>
        </is>
      </c>
      <c r="E26" s="4" t="n">
        <v>70</v>
      </c>
      <c r="F26" s="4" t="n"/>
      <c r="G26" s="5">
        <f>IF(OR(F26="",E26=0),"",F26/E26-1)</f>
        <v/>
      </c>
      <c r="H26" s="4" t="n"/>
    </row>
    <row r="27">
      <c r="A27" s="4" t="inlineStr">
        <is>
          <t>sales.ESR.Rebar.export_kt</t>
        </is>
      </c>
      <c r="B27" s="4" t="inlineStr">
        <is>
          <t>ESR</t>
        </is>
      </c>
      <c r="C27" s="4" t="inlineStr">
        <is>
          <t>Rebar · export kt</t>
        </is>
      </c>
      <c r="D27" s="4" t="inlineStr">
        <is>
          <t>kt</t>
        </is>
      </c>
      <c r="E27" s="4" t="n">
        <v>0</v>
      </c>
      <c r="F27" s="4" t="n"/>
      <c r="G27" s="5">
        <f>IF(OR(F27="",E27=0),"",F27/E27-1)</f>
        <v/>
      </c>
      <c r="H27" s="4" t="n"/>
    </row>
    <row r="28">
      <c r="A28" s="4" t="inlineStr">
        <is>
          <t>sales.ESR.Rebar.local_price_le_t</t>
        </is>
      </c>
      <c r="B28" s="4" t="inlineStr">
        <is>
          <t>ESR</t>
        </is>
      </c>
      <c r="C28" s="4" t="inlineStr">
        <is>
          <t>Rebar · local price le t</t>
        </is>
      </c>
      <c r="D28" s="4" t="inlineStr">
        <is>
          <t>LE/t</t>
        </is>
      </c>
      <c r="E28" s="4" t="n">
        <v>9300</v>
      </c>
      <c r="F28" s="4" t="n"/>
      <c r="G28" s="5">
        <f>IF(OR(F28="",E28=0),"",F28/E28-1)</f>
        <v/>
      </c>
      <c r="H28" s="4" t="n"/>
    </row>
    <row r="29">
      <c r="A29" s="4" t="inlineStr">
        <is>
          <t>sales.ESR.Rebar.export_price_usd_t</t>
        </is>
      </c>
      <c r="B29" s="4" t="inlineStr">
        <is>
          <t>ESR</t>
        </is>
      </c>
      <c r="C29" s="4" t="inlineStr">
        <is>
          <t>Rebar · export price usd t</t>
        </is>
      </c>
      <c r="D29" s="4" t="inlineStr">
        <is>
          <t>$/t</t>
        </is>
      </c>
      <c r="E29" s="4" t="n">
        <v>490</v>
      </c>
      <c r="F29" s="4" t="n"/>
      <c r="G29" s="5">
        <f>IF(OR(F29="",E29=0),"",F29/E29-1)</f>
        <v/>
      </c>
      <c r="H29" s="4" t="n"/>
    </row>
    <row r="30">
      <c r="A30" s="4" t="inlineStr">
        <is>
          <t>total_local_market_kt.Rebar</t>
        </is>
      </c>
      <c r="B30" s="4" t="inlineStr">
        <is>
          <t>Group</t>
        </is>
      </c>
      <c r="C30" s="4" t="inlineStr">
        <is>
          <t>Rebar</t>
        </is>
      </c>
      <c r="D30" s="4" t="inlineStr"/>
      <c r="E30" s="4" t="n">
        <v>525</v>
      </c>
      <c r="F30" s="4" t="n"/>
      <c r="G30" s="5">
        <f>IF(OR(F30="",E30=0),"",F30/E30-1)</f>
        <v/>
      </c>
      <c r="H30" s="4" t="n"/>
    </row>
    <row r="31">
      <c r="A31" s="4" t="inlineStr">
        <is>
          <t>total_local_market_kt.Wire Rod</t>
        </is>
      </c>
      <c r="B31" s="4" t="inlineStr">
        <is>
          <t>Group</t>
        </is>
      </c>
      <c r="C31" s="4" t="inlineStr">
        <is>
          <t>Wire Rod</t>
        </is>
      </c>
      <c r="D31" s="4" t="inlineStr"/>
      <c r="E31" s="4" t="n">
        <v>75</v>
      </c>
      <c r="F31" s="4" t="n"/>
      <c r="G31" s="5">
        <f>IF(OR(F31="",E31=0),"",F31/E31-1)</f>
        <v/>
      </c>
      <c r="H31" s="4" t="n"/>
    </row>
    <row r="32">
      <c r="A32" s="4" t="inlineStr">
        <is>
          <t>total_local_market_kt.HRC</t>
        </is>
      </c>
      <c r="B32" s="4" t="inlineStr">
        <is>
          <t>Group</t>
        </is>
      </c>
      <c r="C32" s="4" t="inlineStr">
        <is>
          <t>HRC</t>
        </is>
      </c>
      <c r="D32" s="4" t="inlineStr"/>
      <c r="E32" s="4" t="n"/>
      <c r="F32" s="4" t="n"/>
      <c r="G32" s="4" t="n"/>
      <c r="H32" s="4" t="inlineStr">
        <is>
          <t>Left blank by design: HRC market size is asked at each run.</t>
        </is>
      </c>
    </row>
    <row r="33">
      <c r="A33" s="4" t="inlineStr">
        <is>
          <t>pnl.export_expense_usd_t.EZDK.Rebar</t>
        </is>
      </c>
      <c r="B33" s="4" t="inlineStr">
        <is>
          <t>EZDK</t>
        </is>
      </c>
      <c r="C33" s="4" t="inlineStr">
        <is>
          <t>export expense usd t · Rebar</t>
        </is>
      </c>
      <c r="D33" s="4" t="inlineStr"/>
      <c r="E33" s="4" t="n">
        <v>0</v>
      </c>
      <c r="F33" s="4" t="n"/>
      <c r="G33" s="5">
        <f>IF(OR(F33="",E33=0),"",F33/E33-1)</f>
        <v/>
      </c>
      <c r="H33" s="4" t="n"/>
    </row>
    <row r="34">
      <c r="A34" s="4" t="inlineStr">
        <is>
          <t>pnl.export_expense_usd_t.EZDK.Wire Rod</t>
        </is>
      </c>
      <c r="B34" s="4" t="inlineStr">
        <is>
          <t>EZDK</t>
        </is>
      </c>
      <c r="C34" s="4" t="inlineStr">
        <is>
          <t>export expense usd t · Wire Rod</t>
        </is>
      </c>
      <c r="D34" s="4" t="inlineStr"/>
      <c r="E34" s="4" t="n">
        <v>20</v>
      </c>
      <c r="F34" s="4" t="n"/>
      <c r="G34" s="5">
        <f>IF(OR(F34="",E34=0),"",F34/E34-1)</f>
        <v/>
      </c>
      <c r="H34" s="4" t="n"/>
    </row>
    <row r="35">
      <c r="A35" s="4" t="inlineStr">
        <is>
          <t>pnl.export_expense_usd_t.EZDK.HRC</t>
        </is>
      </c>
      <c r="B35" s="4" t="inlineStr">
        <is>
          <t>EZDK</t>
        </is>
      </c>
      <c r="C35" s="4" t="inlineStr">
        <is>
          <t>export expense usd t · HRC</t>
        </is>
      </c>
      <c r="D35" s="4" t="inlineStr"/>
      <c r="E35" s="4" t="n">
        <v>20</v>
      </c>
      <c r="F35" s="4" t="n"/>
      <c r="G35" s="5">
        <f>IF(OR(F35="",E35=0),"",F35/E35-1)</f>
        <v/>
      </c>
      <c r="H35" s="4" t="n"/>
    </row>
    <row r="36">
      <c r="A36" s="4" t="inlineStr">
        <is>
          <t>pnl.export_expense_usd_t.EFS.Rebar</t>
        </is>
      </c>
      <c r="B36" s="4" t="inlineStr">
        <is>
          <t>EFS</t>
        </is>
      </c>
      <c r="C36" s="4" t="inlineStr">
        <is>
          <t>export expense usd t · Rebar</t>
        </is>
      </c>
      <c r="D36" s="4" t="inlineStr"/>
      <c r="E36" s="4" t="n">
        <v>0</v>
      </c>
      <c r="F36" s="4" t="n"/>
      <c r="G36" s="5">
        <f>IF(OR(F36="",E36=0),"",F36/E36-1)</f>
        <v/>
      </c>
      <c r="H36" s="4" t="n"/>
    </row>
    <row r="37">
      <c r="A37" s="4" t="inlineStr">
        <is>
          <t>pnl.export_expense_usd_t.EFS.HRC</t>
        </is>
      </c>
      <c r="B37" s="4" t="inlineStr">
        <is>
          <t>EFS</t>
        </is>
      </c>
      <c r="C37" s="4" t="inlineStr">
        <is>
          <t>export expense usd t · HRC</t>
        </is>
      </c>
      <c r="D37" s="4" t="inlineStr"/>
      <c r="E37" s="4" t="n">
        <v>20</v>
      </c>
      <c r="F37" s="4" t="n"/>
      <c r="G37" s="5">
        <f>IF(OR(F37="",E37=0),"",F37/E37-1)</f>
        <v/>
      </c>
      <c r="H37" s="4" t="n"/>
    </row>
    <row r="38">
      <c r="A38" s="4" t="inlineStr">
        <is>
          <t>pnl.export_expense_usd_t.ERM.Rebar</t>
        </is>
      </c>
      <c r="B38" s="4" t="inlineStr">
        <is>
          <t>ERM</t>
        </is>
      </c>
      <c r="C38" s="4" t="inlineStr">
        <is>
          <t>export expense usd t · Rebar</t>
        </is>
      </c>
      <c r="D38" s="4" t="inlineStr"/>
      <c r="E38" s="4" t="n">
        <v>0</v>
      </c>
      <c r="F38" s="4" t="n"/>
      <c r="G38" s="5">
        <f>IF(OR(F38="",E38=0),"",F38/E38-1)</f>
        <v/>
      </c>
      <c r="H38" s="4" t="n"/>
    </row>
    <row r="39">
      <c r="A39" s="4" t="inlineStr">
        <is>
          <t>pnl.export_expense_usd_t.ESR.Rebar</t>
        </is>
      </c>
      <c r="B39" s="4" t="inlineStr">
        <is>
          <t>ESR</t>
        </is>
      </c>
      <c r="C39" s="4" t="inlineStr">
        <is>
          <t>export expense usd t · Rebar</t>
        </is>
      </c>
      <c r="D39" s="4" t="inlineStr"/>
      <c r="E39" s="4" t="n">
        <v>0</v>
      </c>
      <c r="F39" s="4" t="n"/>
      <c r="G39" s="5">
        <f>IF(OR(F39="",E39=0),"",F39/E39-1)</f>
        <v/>
      </c>
      <c r="H39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1" max="1"/>
    <col width="16" customWidth="1" min="2" max="2"/>
    <col width="58" customWidth="1" min="3" max="3"/>
    <col width="24" customWidth="1" min="4" max="4"/>
    <col width="20" customWidth="1" min="5" max="5"/>
    <col width="16" customWidth="1" min="6" max="6"/>
    <col width="10" customWidth="1" min="7" max="7"/>
  </cols>
  <sheetData>
    <row r="1">
      <c r="A1" s="3" t="inlineStr">
        <is>
          <t>Path</t>
        </is>
      </c>
      <c r="B1" s="3" t="inlineStr">
        <is>
          <t>Company / line</t>
        </is>
      </c>
      <c r="C1" s="3" t="inlineStr">
        <is>
          <t>Input</t>
        </is>
      </c>
      <c r="D1" s="3" t="inlineStr">
        <is>
          <t>Unit</t>
        </is>
      </c>
      <c r="E1" s="3" t="inlineStr">
        <is>
          <t>Last month (read-only)</t>
        </is>
      </c>
      <c r="F1" s="3" t="inlineStr">
        <is>
          <t>This month</t>
        </is>
      </c>
      <c r="G1" s="3" t="inlineStr">
        <is>
          <t>% change</t>
        </is>
      </c>
    </row>
    <row r="2">
      <c r="A2" s="4" t="inlineStr">
        <is>
          <t>fixed_cost.EZDK.manufacturing_musd</t>
        </is>
      </c>
      <c r="B2" s="4" t="inlineStr">
        <is>
          <t>EZDK</t>
        </is>
      </c>
      <c r="C2" s="4" t="inlineStr">
        <is>
          <t>manufacturing musd</t>
        </is>
      </c>
      <c r="D2" s="4" t="inlineStr"/>
      <c r="E2" s="4" t="n">
        <v>9.93</v>
      </c>
      <c r="F2" s="4" t="n"/>
      <c r="G2" s="5">
        <f>IF(OR(F2="",E2=0),"",F2/E2-1)</f>
        <v/>
      </c>
    </row>
    <row r="3">
      <c r="A3" s="4" t="inlineStr">
        <is>
          <t>fixed_cost.EZDK.sga_musd</t>
        </is>
      </c>
      <c r="B3" s="4" t="inlineStr">
        <is>
          <t>EZDK</t>
        </is>
      </c>
      <c r="C3" s="4" t="inlineStr">
        <is>
          <t>sga musd</t>
        </is>
      </c>
      <c r="D3" s="4" t="inlineStr"/>
      <c r="E3" s="4" t="n">
        <v>3.66</v>
      </c>
      <c r="F3" s="4" t="n"/>
      <c r="G3" s="5">
        <f>IF(OR(F3="",E3=0),"",F3/E3-1)</f>
        <v/>
      </c>
    </row>
    <row r="4">
      <c r="A4" s="4" t="inlineStr">
        <is>
          <t>fixed_cost.EZDK.net_finance_musd</t>
        </is>
      </c>
      <c r="B4" s="4" t="inlineStr">
        <is>
          <t>EZDK</t>
        </is>
      </c>
      <c r="C4" s="4" t="inlineStr">
        <is>
          <t>net finance musd</t>
        </is>
      </c>
      <c r="D4" s="4" t="inlineStr"/>
      <c r="E4" s="4" t="n">
        <v>6.99</v>
      </c>
      <c r="F4" s="4" t="n"/>
      <c r="G4" s="5">
        <f>IF(OR(F4="",E4=0),"",F4/E4-1)</f>
        <v/>
      </c>
    </row>
    <row r="5">
      <c r="A5" s="4" t="inlineStr">
        <is>
          <t>fixed_cost.EZDK.depreciation_musd</t>
        </is>
      </c>
      <c r="B5" s="4" t="inlineStr">
        <is>
          <t>EZDK</t>
        </is>
      </c>
      <c r="C5" s="4" t="inlineStr">
        <is>
          <t>depreciation musd</t>
        </is>
      </c>
      <c r="D5" s="4" t="inlineStr"/>
      <c r="E5" s="4" t="n">
        <v>2.39</v>
      </c>
      <c r="F5" s="4" t="n"/>
      <c r="G5" s="5">
        <f>IF(OR(F5="",E5=0),"",F5/E5-1)</f>
        <v/>
      </c>
    </row>
    <row r="6">
      <c r="A6" s="4" t="inlineStr">
        <is>
          <t>fixed_cost.EZDK.distribution_pct.DRI</t>
        </is>
      </c>
      <c r="B6" s="4" t="inlineStr">
        <is>
          <t>EZDK</t>
        </is>
      </c>
      <c r="C6" s="4" t="inlineStr">
        <is>
          <t>distribution pct · DRI</t>
        </is>
      </c>
      <c r="D6" s="4" t="inlineStr">
        <is>
          <t>%</t>
        </is>
      </c>
      <c r="E6" s="4" t="n">
        <v>0</v>
      </c>
      <c r="F6" s="4" t="n"/>
      <c r="G6" s="5">
        <f>IF(OR(F6="",E6=0),"",F6/E6-1)</f>
        <v/>
      </c>
    </row>
    <row r="7">
      <c r="A7" s="4" t="inlineStr">
        <is>
          <t>fixed_cost.EZDK.distribution_pct.Rebar</t>
        </is>
      </c>
      <c r="B7" s="4" t="inlineStr">
        <is>
          <t>EZDK</t>
        </is>
      </c>
      <c r="C7" s="4" t="inlineStr">
        <is>
          <t>distribution pct · Rebar</t>
        </is>
      </c>
      <c r="D7" s="4" t="inlineStr">
        <is>
          <t>%</t>
        </is>
      </c>
      <c r="E7" s="4" t="n">
        <v>25</v>
      </c>
      <c r="F7" s="4" t="n"/>
      <c r="G7" s="5">
        <f>IF(OR(F7="",E7=0),"",F7/E7-1)</f>
        <v/>
      </c>
    </row>
    <row r="8">
      <c r="A8" s="4" t="inlineStr">
        <is>
          <t>fixed_cost.EZDK.distribution_pct.Wire Rod</t>
        </is>
      </c>
      <c r="B8" s="4" t="inlineStr">
        <is>
          <t>EZDK</t>
        </is>
      </c>
      <c r="C8" s="4" t="inlineStr">
        <is>
          <t>distribution pct · Wire Rod</t>
        </is>
      </c>
      <c r="D8" s="4" t="inlineStr">
        <is>
          <t>%</t>
        </is>
      </c>
      <c r="E8" s="4" t="n">
        <v>25</v>
      </c>
      <c r="F8" s="4" t="n"/>
      <c r="G8" s="5">
        <f>IF(OR(F8="",E8=0),"",F8/E8-1)</f>
        <v/>
      </c>
    </row>
    <row r="9">
      <c r="A9" s="4" t="inlineStr">
        <is>
          <t>fixed_cost.EZDK.distribution_pct.HRC</t>
        </is>
      </c>
      <c r="B9" s="4" t="inlineStr">
        <is>
          <t>EZDK</t>
        </is>
      </c>
      <c r="C9" s="4" t="inlineStr">
        <is>
          <t>distribution pct · HRC</t>
        </is>
      </c>
      <c r="D9" s="4" t="inlineStr">
        <is>
          <t>%</t>
        </is>
      </c>
      <c r="E9" s="4" t="n">
        <v>50</v>
      </c>
      <c r="F9" s="4" t="n"/>
      <c r="G9" s="5">
        <f>IF(OR(F9="",E9=0),"",F9/E9-1)</f>
        <v/>
      </c>
    </row>
    <row r="10">
      <c r="A10" s="4" t="inlineStr">
        <is>
          <t>fixed_cost.EFS.manufacturing_musd</t>
        </is>
      </c>
      <c r="B10" s="4" t="inlineStr">
        <is>
          <t>EFS</t>
        </is>
      </c>
      <c r="C10" s="4" t="inlineStr">
        <is>
          <t>manufacturing musd</t>
        </is>
      </c>
      <c r="D10" s="4" t="inlineStr"/>
      <c r="E10" s="4" t="n">
        <v>3.54</v>
      </c>
      <c r="F10" s="4" t="n"/>
      <c r="G10" s="5">
        <f>IF(OR(F10="",E10=0),"",F10/E10-1)</f>
        <v/>
      </c>
    </row>
    <row r="11">
      <c r="A11" s="4" t="inlineStr">
        <is>
          <t>fixed_cost.EFS.sga_musd</t>
        </is>
      </c>
      <c r="B11" s="4" t="inlineStr">
        <is>
          <t>EFS</t>
        </is>
      </c>
      <c r="C11" s="4" t="inlineStr">
        <is>
          <t>sga musd</t>
        </is>
      </c>
      <c r="D11" s="4" t="inlineStr"/>
      <c r="E11" s="4" t="n">
        <v>0.26</v>
      </c>
      <c r="F11" s="4" t="n"/>
      <c r="G11" s="5">
        <f>IF(OR(F11="",E11=0),"",F11/E11-1)</f>
        <v/>
      </c>
    </row>
    <row r="12">
      <c r="A12" s="4" t="inlineStr">
        <is>
          <t>fixed_cost.EFS.net_finance_musd</t>
        </is>
      </c>
      <c r="B12" s="4" t="inlineStr">
        <is>
          <t>EFS</t>
        </is>
      </c>
      <c r="C12" s="4" t="inlineStr">
        <is>
          <t>net finance musd</t>
        </is>
      </c>
      <c r="D12" s="4" t="inlineStr"/>
      <c r="E12" s="4" t="n">
        <v>2.42</v>
      </c>
      <c r="F12" s="4" t="n"/>
      <c r="G12" s="5">
        <f>IF(OR(F12="",E12=0),"",F12/E12-1)</f>
        <v/>
      </c>
    </row>
    <row r="13">
      <c r="A13" s="4" t="inlineStr">
        <is>
          <t>fixed_cost.EFS.depreciation_musd</t>
        </is>
      </c>
      <c r="B13" s="4" t="inlineStr">
        <is>
          <t>EFS</t>
        </is>
      </c>
      <c r="C13" s="4" t="inlineStr">
        <is>
          <t>depreciation musd</t>
        </is>
      </c>
      <c r="D13" s="4" t="inlineStr"/>
      <c r="E13" s="4" t="n">
        <v>2.52</v>
      </c>
      <c r="F13" s="4" t="n"/>
      <c r="G13" s="5">
        <f>IF(OR(F13="",E13=0),"",F13/E13-1)</f>
        <v/>
      </c>
    </row>
    <row r="14">
      <c r="A14" s="4" t="inlineStr">
        <is>
          <t>fixed_cost.EFS.distribution_pct.DRI</t>
        </is>
      </c>
      <c r="B14" s="4" t="inlineStr">
        <is>
          <t>EFS</t>
        </is>
      </c>
      <c r="C14" s="4" t="inlineStr">
        <is>
          <t>distribution pct · DRI</t>
        </is>
      </c>
      <c r="D14" s="4" t="inlineStr">
        <is>
          <t>%</t>
        </is>
      </c>
      <c r="E14" s="4" t="n">
        <v>0</v>
      </c>
      <c r="F14" s="4" t="n"/>
      <c r="G14" s="5">
        <f>IF(OR(F14="",E14=0),"",F14/E14-1)</f>
        <v/>
      </c>
    </row>
    <row r="15">
      <c r="A15" s="4" t="inlineStr">
        <is>
          <t>fixed_cost.EFS.distribution_pct.Rebar</t>
        </is>
      </c>
      <c r="B15" s="4" t="inlineStr">
        <is>
          <t>EFS</t>
        </is>
      </c>
      <c r="C15" s="4" t="inlineStr">
        <is>
          <t>distribution pct · Rebar</t>
        </is>
      </c>
      <c r="D15" s="4" t="inlineStr">
        <is>
          <t>%</t>
        </is>
      </c>
      <c r="E15" s="4" t="n">
        <v>50</v>
      </c>
      <c r="F15" s="4" t="n"/>
      <c r="G15" s="5">
        <f>IF(OR(F15="",E15=0),"",F15/E15-1)</f>
        <v/>
      </c>
    </row>
    <row r="16">
      <c r="A16" s="4" t="inlineStr">
        <is>
          <t>fixed_cost.EFS.distribution_pct.Wire Rod</t>
        </is>
      </c>
      <c r="B16" s="4" t="inlineStr">
        <is>
          <t>EFS</t>
        </is>
      </c>
      <c r="C16" s="4" t="inlineStr">
        <is>
          <t>distribution pct · Wire Rod</t>
        </is>
      </c>
      <c r="D16" s="4" t="inlineStr">
        <is>
          <t>%</t>
        </is>
      </c>
      <c r="E16" s="4" t="n">
        <v>0</v>
      </c>
      <c r="F16" s="4" t="n"/>
      <c r="G16" s="5">
        <f>IF(OR(F16="",E16=0),"",F16/E16-1)</f>
        <v/>
      </c>
    </row>
    <row r="17">
      <c r="A17" s="4" t="inlineStr">
        <is>
          <t>fixed_cost.EFS.distribution_pct.HRC</t>
        </is>
      </c>
      <c r="B17" s="4" t="inlineStr">
        <is>
          <t>EFS</t>
        </is>
      </c>
      <c r="C17" s="4" t="inlineStr">
        <is>
          <t>distribution pct · HRC</t>
        </is>
      </c>
      <c r="D17" s="4" t="inlineStr">
        <is>
          <t>%</t>
        </is>
      </c>
      <c r="E17" s="4" t="n">
        <v>50</v>
      </c>
      <c r="F17" s="4" t="n"/>
      <c r="G17" s="5">
        <f>IF(OR(F17="",E17=0),"",F17/E17-1)</f>
        <v/>
      </c>
    </row>
    <row r="18">
      <c r="A18" s="4" t="inlineStr">
        <is>
          <t>fixed_cost.ERM.manufacturing_musd</t>
        </is>
      </c>
      <c r="B18" s="4" t="inlineStr">
        <is>
          <t>ERM</t>
        </is>
      </c>
      <c r="C18" s="4" t="inlineStr">
        <is>
          <t>manufacturing musd</t>
        </is>
      </c>
      <c r="D18" s="4" t="inlineStr"/>
      <c r="E18" s="4" t="n">
        <v>1.17</v>
      </c>
      <c r="F18" s="4" t="n"/>
      <c r="G18" s="5">
        <f>IF(OR(F18="",E18=0),"",F18/E18-1)</f>
        <v/>
      </c>
    </row>
    <row r="19">
      <c r="A19" s="4" t="inlineStr">
        <is>
          <t>fixed_cost.ERM.sga_musd</t>
        </is>
      </c>
      <c r="B19" s="4" t="inlineStr">
        <is>
          <t>ERM</t>
        </is>
      </c>
      <c r="C19" s="4" t="inlineStr">
        <is>
          <t>sga musd</t>
        </is>
      </c>
      <c r="D19" s="4" t="inlineStr"/>
      <c r="E19" s="4" t="n">
        <v>0.84</v>
      </c>
      <c r="F19" s="4" t="n"/>
      <c r="G19" s="5">
        <f>IF(OR(F19="",E19=0),"",F19/E19-1)</f>
        <v/>
      </c>
    </row>
    <row r="20">
      <c r="A20" s="4" t="inlineStr">
        <is>
          <t>fixed_cost.ERM.net_finance_musd</t>
        </is>
      </c>
      <c r="B20" s="4" t="inlineStr">
        <is>
          <t>ERM</t>
        </is>
      </c>
      <c r="C20" s="4" t="inlineStr">
        <is>
          <t>net finance musd</t>
        </is>
      </c>
      <c r="D20" s="4" t="inlineStr"/>
      <c r="E20" s="4" t="n">
        <v>4.52</v>
      </c>
      <c r="F20" s="4" t="n"/>
      <c r="G20" s="5">
        <f>IF(OR(F20="",E20=0),"",F20/E20-1)</f>
        <v/>
      </c>
    </row>
    <row r="21">
      <c r="A21" s="4" t="inlineStr">
        <is>
          <t>fixed_cost.ERM.depreciation_musd</t>
        </is>
      </c>
      <c r="B21" s="4" t="inlineStr">
        <is>
          <t>ERM</t>
        </is>
      </c>
      <c r="C21" s="4" t="inlineStr">
        <is>
          <t>depreciation musd</t>
        </is>
      </c>
      <c r="D21" s="4" t="inlineStr"/>
      <c r="E21" s="4" t="n">
        <v>1.24</v>
      </c>
      <c r="F21" s="4" t="n"/>
      <c r="G21" s="5">
        <f>IF(OR(F21="",E21=0),"",F21/E21-1)</f>
        <v/>
      </c>
    </row>
    <row r="22">
      <c r="A22" s="4" t="inlineStr">
        <is>
          <t>fixed_cost.ERM.distribution_pct.DRI</t>
        </is>
      </c>
      <c r="B22" s="4" t="inlineStr">
        <is>
          <t>ERM</t>
        </is>
      </c>
      <c r="C22" s="4" t="inlineStr">
        <is>
          <t>distribution pct · DRI</t>
        </is>
      </c>
      <c r="D22" s="4" t="inlineStr">
        <is>
          <t>%</t>
        </is>
      </c>
      <c r="E22" s="4" t="n">
        <v>70</v>
      </c>
      <c r="F22" s="4" t="n"/>
      <c r="G22" s="5">
        <f>IF(OR(F22="",E22=0),"",F22/E22-1)</f>
        <v/>
      </c>
    </row>
    <row r="23">
      <c r="A23" s="4" t="inlineStr">
        <is>
          <t>fixed_cost.ERM.distribution_pct.Rebar</t>
        </is>
      </c>
      <c r="B23" s="4" t="inlineStr">
        <is>
          <t>ERM</t>
        </is>
      </c>
      <c r="C23" s="4" t="inlineStr">
        <is>
          <t>distribution pct · Rebar</t>
        </is>
      </c>
      <c r="D23" s="4" t="inlineStr">
        <is>
          <t>%</t>
        </is>
      </c>
      <c r="E23" s="4" t="n">
        <v>30</v>
      </c>
      <c r="F23" s="4" t="n"/>
      <c r="G23" s="5">
        <f>IF(OR(F23="",E23=0),"",F23/E23-1)</f>
        <v/>
      </c>
    </row>
    <row r="24">
      <c r="A24" s="4" t="inlineStr">
        <is>
          <t>fixed_cost.ERM.distribution_pct.Wire Rod</t>
        </is>
      </c>
      <c r="B24" s="4" t="inlineStr">
        <is>
          <t>ERM</t>
        </is>
      </c>
      <c r="C24" s="4" t="inlineStr">
        <is>
          <t>distribution pct · Wire Rod</t>
        </is>
      </c>
      <c r="D24" s="4" t="inlineStr">
        <is>
          <t>%</t>
        </is>
      </c>
      <c r="E24" s="4" t="n">
        <v>0</v>
      </c>
      <c r="F24" s="4" t="n"/>
      <c r="G24" s="5">
        <f>IF(OR(F24="",E24=0),"",F24/E24-1)</f>
        <v/>
      </c>
    </row>
    <row r="25">
      <c r="A25" s="4" t="inlineStr">
        <is>
          <t>fixed_cost.ERM.distribution_pct.HRC</t>
        </is>
      </c>
      <c r="B25" s="4" t="inlineStr">
        <is>
          <t>ERM</t>
        </is>
      </c>
      <c r="C25" s="4" t="inlineStr">
        <is>
          <t>distribution pct · HRC</t>
        </is>
      </c>
      <c r="D25" s="4" t="inlineStr">
        <is>
          <t>%</t>
        </is>
      </c>
      <c r="E25" s="4" t="n">
        <v>0</v>
      </c>
      <c r="F25" s="4" t="n"/>
      <c r="G25" s="5">
        <f>IF(OR(F25="",E25=0),"",F25/E25-1)</f>
        <v/>
      </c>
    </row>
    <row r="26">
      <c r="A26" s="4" t="inlineStr">
        <is>
          <t>fixed_cost.ESR.manufacturing_musd</t>
        </is>
      </c>
      <c r="B26" s="4" t="inlineStr">
        <is>
          <t>ESR</t>
        </is>
      </c>
      <c r="C26" s="4" t="inlineStr">
        <is>
          <t>manufacturing musd</t>
        </is>
      </c>
      <c r="D26" s="4" t="inlineStr"/>
      <c r="E26" s="4" t="n">
        <v>2.45</v>
      </c>
      <c r="F26" s="4" t="n"/>
      <c r="G26" s="5">
        <f>IF(OR(F26="",E26=0),"",F26/E26-1)</f>
        <v/>
      </c>
    </row>
    <row r="27">
      <c r="A27" s="4" t="inlineStr">
        <is>
          <t>fixed_cost.ESR.sga_musd</t>
        </is>
      </c>
      <c r="B27" s="4" t="inlineStr">
        <is>
          <t>ESR</t>
        </is>
      </c>
      <c r="C27" s="4" t="inlineStr">
        <is>
          <t>sga musd</t>
        </is>
      </c>
      <c r="D27" s="4" t="inlineStr"/>
      <c r="E27" s="4" t="n">
        <v>2.38</v>
      </c>
      <c r="F27" s="4" t="n"/>
      <c r="G27" s="5">
        <f>IF(OR(F27="",E27=0),"",F27/E27-1)</f>
        <v/>
      </c>
    </row>
    <row r="28">
      <c r="A28" s="4" t="inlineStr">
        <is>
          <t>fixed_cost.ESR.net_finance_musd</t>
        </is>
      </c>
      <c r="B28" s="4" t="inlineStr">
        <is>
          <t>ESR</t>
        </is>
      </c>
      <c r="C28" s="4" t="inlineStr">
        <is>
          <t>net finance musd</t>
        </is>
      </c>
      <c r="D28" s="4" t="inlineStr"/>
      <c r="E28" s="4" t="n">
        <v>5.17</v>
      </c>
      <c r="F28" s="4" t="n"/>
      <c r="G28" s="5">
        <f>IF(OR(F28="",E28=0),"",F28/E28-1)</f>
        <v/>
      </c>
    </row>
    <row r="29">
      <c r="A29" s="4" t="inlineStr">
        <is>
          <t>fixed_cost.ESR.depreciation_musd</t>
        </is>
      </c>
      <c r="B29" s="4" t="inlineStr">
        <is>
          <t>ESR</t>
        </is>
      </c>
      <c r="C29" s="4" t="inlineStr">
        <is>
          <t>depreciation musd</t>
        </is>
      </c>
      <c r="D29" s="4" t="inlineStr"/>
      <c r="E29" s="4" t="n">
        <v>0.13</v>
      </c>
      <c r="F29" s="4" t="n"/>
      <c r="G29" s="5">
        <f>IF(OR(F29="",E29=0),"",F29/E29-1)</f>
        <v/>
      </c>
    </row>
    <row r="30">
      <c r="A30" s="4" t="inlineStr">
        <is>
          <t>fixed_cost.ESR.distribution_pct.DRI</t>
        </is>
      </c>
      <c r="B30" s="4" t="inlineStr">
        <is>
          <t>ESR</t>
        </is>
      </c>
      <c r="C30" s="4" t="inlineStr">
        <is>
          <t>distribution pct · DRI</t>
        </is>
      </c>
      <c r="D30" s="4" t="inlineStr">
        <is>
          <t>%</t>
        </is>
      </c>
      <c r="E30" s="4" t="n">
        <v>0</v>
      </c>
      <c r="F30" s="4" t="n"/>
      <c r="G30" s="5">
        <f>IF(OR(F30="",E30=0),"",F30/E30-1)</f>
        <v/>
      </c>
    </row>
    <row r="31">
      <c r="A31" s="4" t="inlineStr">
        <is>
          <t>fixed_cost.ESR.distribution_pct.Rebar</t>
        </is>
      </c>
      <c r="B31" s="4" t="inlineStr">
        <is>
          <t>ESR</t>
        </is>
      </c>
      <c r="C31" s="4" t="inlineStr">
        <is>
          <t>distribution pct · Rebar</t>
        </is>
      </c>
      <c r="D31" s="4" t="inlineStr">
        <is>
          <t>%</t>
        </is>
      </c>
      <c r="E31" s="4" t="n">
        <v>100</v>
      </c>
      <c r="F31" s="4" t="n"/>
      <c r="G31" s="5">
        <f>IF(OR(F31="",E31=0),"",F31/E31-1)</f>
        <v/>
      </c>
    </row>
    <row r="32">
      <c r="A32" s="4" t="inlineStr">
        <is>
          <t>fixed_cost.ESR.distribution_pct.Wire Rod</t>
        </is>
      </c>
      <c r="B32" s="4" t="inlineStr">
        <is>
          <t>ESR</t>
        </is>
      </c>
      <c r="C32" s="4" t="inlineStr">
        <is>
          <t>distribution pct · Wire Rod</t>
        </is>
      </c>
      <c r="D32" s="4" t="inlineStr">
        <is>
          <t>%</t>
        </is>
      </c>
      <c r="E32" s="4" t="n">
        <v>0</v>
      </c>
      <c r="F32" s="4" t="n"/>
      <c r="G32" s="5">
        <f>IF(OR(F32="",E32=0),"",F32/E32-1)</f>
        <v/>
      </c>
    </row>
    <row r="33">
      <c r="A33" s="4" t="inlineStr">
        <is>
          <t>fixed_cost.ESR.distribution_pct.HRC</t>
        </is>
      </c>
      <c r="B33" s="4" t="inlineStr">
        <is>
          <t>ESR</t>
        </is>
      </c>
      <c r="C33" s="4" t="inlineStr">
        <is>
          <t>distribution pct · HRC</t>
        </is>
      </c>
      <c r="D33" s="4" t="inlineStr">
        <is>
          <t>%</t>
        </is>
      </c>
      <c r="E33" s="4" t="n">
        <v>0</v>
      </c>
      <c r="F33" s="4" t="n"/>
      <c r="G33" s="5">
        <f>IF(OR(F33="",E33=0),"",F33/E33-1)</f>
        <v/>
      </c>
    </row>
    <row r="34">
      <c r="A34" s="4" t="inlineStr">
        <is>
          <t>capacity_ceilings.dri.EZDK</t>
        </is>
      </c>
      <c r="B34" s="4" t="inlineStr">
        <is>
          <t>EZDK</t>
        </is>
      </c>
      <c r="C34" s="4" t="inlineStr">
        <is>
          <t>dri</t>
        </is>
      </c>
      <c r="D34" s="4" t="inlineStr">
        <is>
          <t>t/month</t>
        </is>
      </c>
      <c r="E34" s="4" t="n">
        <v>250000</v>
      </c>
      <c r="F34" s="4" t="n"/>
      <c r="G34" s="5">
        <f>IF(OR(F34="",E34=0),"",F34/E34-1)</f>
        <v/>
      </c>
    </row>
    <row r="35">
      <c r="A35" s="4" t="inlineStr">
        <is>
          <t>capacity_ceilings.dri.ERM</t>
        </is>
      </c>
      <c r="B35" s="4" t="inlineStr">
        <is>
          <t>ERM</t>
        </is>
      </c>
      <c r="C35" s="4" t="inlineStr">
        <is>
          <t>dri</t>
        </is>
      </c>
      <c r="D35" s="4" t="inlineStr">
        <is>
          <t>t/month</t>
        </is>
      </c>
      <c r="E35" s="4" t="n">
        <v>158333.3333333333</v>
      </c>
      <c r="F35" s="4" t="n"/>
      <c r="G35" s="5">
        <f>IF(OR(F35="",E35=0),"",F35/E35-1)</f>
        <v/>
      </c>
    </row>
    <row r="36">
      <c r="A36" s="4" t="inlineStr">
        <is>
          <t>capacity_ceilings.finished.EZDK.Rebar</t>
        </is>
      </c>
      <c r="B36" s="4" t="inlineStr">
        <is>
          <t>EZDK</t>
        </is>
      </c>
      <c r="C36" s="4" t="inlineStr">
        <is>
          <t>finished · Rebar</t>
        </is>
      </c>
      <c r="D36" s="4" t="inlineStr">
        <is>
          <t>t/month</t>
        </is>
      </c>
      <c r="E36" s="4" t="n">
        <v>183333.3333333333</v>
      </c>
      <c r="F36" s="4" t="n"/>
      <c r="G36" s="5">
        <f>IF(OR(F36="",E36=0),"",F36/E36-1)</f>
        <v/>
      </c>
    </row>
    <row r="37">
      <c r="A37" s="4" t="inlineStr">
        <is>
          <t>capacity_ceilings.finished.EZDK.Wire Rod</t>
        </is>
      </c>
      <c r="B37" s="4" t="inlineStr">
        <is>
          <t>EZDK</t>
        </is>
      </c>
      <c r="C37" s="4" t="inlineStr">
        <is>
          <t>finished · Wire Rod</t>
        </is>
      </c>
      <c r="D37" s="4" t="inlineStr">
        <is>
          <t>t/month</t>
        </is>
      </c>
      <c r="E37" s="4" t="n">
        <v>41666.66666666666</v>
      </c>
      <c r="F37" s="4" t="n"/>
      <c r="G37" s="5">
        <f>IF(OR(F37="",E37=0),"",F37/E37-1)</f>
        <v/>
      </c>
    </row>
    <row r="38">
      <c r="A38" s="4" t="inlineStr">
        <is>
          <t>capacity_ceilings.finished.EZDK.HRC</t>
        </is>
      </c>
      <c r="B38" s="4" t="inlineStr">
        <is>
          <t>EZDK</t>
        </is>
      </c>
      <c r="C38" s="4" t="inlineStr">
        <is>
          <t>finished · HRC</t>
        </is>
      </c>
      <c r="D38" s="4" t="inlineStr">
        <is>
          <t>t/month</t>
        </is>
      </c>
      <c r="E38" s="4" t="n">
        <v>100000</v>
      </c>
      <c r="F38" s="4" t="n"/>
      <c r="G38" s="5">
        <f>IF(OR(F38="",E38=0),"",F38/E38-1)</f>
        <v/>
      </c>
    </row>
    <row r="39">
      <c r="A39" s="4" t="inlineStr">
        <is>
          <t>capacity_ceilings.finished.EFS.Rebar</t>
        </is>
      </c>
      <c r="B39" s="4" t="inlineStr">
        <is>
          <t>EFS</t>
        </is>
      </c>
      <c r="C39" s="4" t="inlineStr">
        <is>
          <t>finished · Rebar</t>
        </is>
      </c>
      <c r="D39" s="4" t="inlineStr">
        <is>
          <t>t/month</t>
        </is>
      </c>
      <c r="E39" s="4" t="n">
        <v>100000</v>
      </c>
      <c r="F39" s="4" t="n"/>
      <c r="G39" s="5">
        <f>IF(OR(F39="",E39=0),"",F39/E39-1)</f>
        <v/>
      </c>
    </row>
    <row r="40">
      <c r="A40" s="4" t="inlineStr">
        <is>
          <t>capacity_ceilings.finished.EFS.HRC</t>
        </is>
      </c>
      <c r="B40" s="4" t="inlineStr">
        <is>
          <t>EFS</t>
        </is>
      </c>
      <c r="C40" s="4" t="inlineStr">
        <is>
          <t>finished · HRC</t>
        </is>
      </c>
      <c r="D40" s="4" t="inlineStr">
        <is>
          <t>t/month</t>
        </is>
      </c>
      <c r="E40" s="4" t="n">
        <v>100000</v>
      </c>
      <c r="F40" s="4" t="n"/>
      <c r="G40" s="5">
        <f>IF(OR(F40="",E40=0),"",F40/E40-1)</f>
        <v/>
      </c>
    </row>
    <row r="41">
      <c r="A41" s="4" t="inlineStr">
        <is>
          <t>capacity_ceilings.finished.ERM.Rebar</t>
        </is>
      </c>
      <c r="B41" s="4" t="inlineStr">
        <is>
          <t>ERM</t>
        </is>
      </c>
      <c r="C41" s="4" t="inlineStr">
        <is>
          <t>finished · Rebar</t>
        </is>
      </c>
      <c r="D41" s="4" t="inlineStr">
        <is>
          <t>t/month</t>
        </is>
      </c>
      <c r="E41" s="4" t="n">
        <v>41666.66666666666</v>
      </c>
      <c r="F41" s="4" t="n"/>
      <c r="G41" s="5">
        <f>IF(OR(F41="",E41=0),"",F41/E41-1)</f>
        <v/>
      </c>
    </row>
    <row r="42">
      <c r="A42" s="4" t="inlineStr">
        <is>
          <t>capacity_ceilings.finished.ESR.Rebar</t>
        </is>
      </c>
      <c r="B42" s="4" t="inlineStr">
        <is>
          <t>ESR</t>
        </is>
      </c>
      <c r="C42" s="4" t="inlineStr">
        <is>
          <t>finished · Rebar</t>
        </is>
      </c>
      <c r="D42" s="4" t="inlineStr">
        <is>
          <t>t/month</t>
        </is>
      </c>
      <c r="E42" s="4" t="n">
        <v>100000</v>
      </c>
      <c r="F42" s="4" t="n"/>
      <c r="G42" s="5">
        <f>IF(OR(F42="",E42=0),"",F42/E42-1)</f>
        <v/>
      </c>
    </row>
    <row r="43">
      <c r="A43" s="4" t="inlineStr">
        <is>
          <t>policy_floors.local_share_min.Rebar</t>
        </is>
      </c>
      <c r="B43" s="4" t="inlineStr">
        <is>
          <t>Group</t>
        </is>
      </c>
      <c r="C43" s="4" t="inlineStr">
        <is>
          <t>local share min · Rebar</t>
        </is>
      </c>
      <c r="D43" s="4" t="inlineStr"/>
      <c r="E43" s="4" t="n">
        <v>0.5</v>
      </c>
      <c r="F43" s="4" t="n"/>
      <c r="G43" s="5">
        <f>IF(OR(F43="",E43=0),"",F43/E43-1)</f>
        <v/>
      </c>
    </row>
    <row r="44">
      <c r="A44" s="4" t="inlineStr">
        <is>
          <t>policy_floors.local_share_min.Wire Rod</t>
        </is>
      </c>
      <c r="B44" s="4" t="inlineStr">
        <is>
          <t>Group</t>
        </is>
      </c>
      <c r="C44" s="4" t="inlineStr">
        <is>
          <t>local share min · Wire Rod</t>
        </is>
      </c>
      <c r="D44" s="4" t="inlineStr"/>
      <c r="E44" s="4" t="n">
        <v>0.2</v>
      </c>
      <c r="F44" s="4" t="n"/>
      <c r="G44" s="5">
        <f>IF(OR(F44="",E44=0),"",F44/E44-1)</f>
        <v/>
      </c>
    </row>
    <row r="45">
      <c r="A45" s="4" t="inlineStr">
        <is>
          <t>policy_floors.local_share_min.HRC</t>
        </is>
      </c>
      <c r="B45" s="4" t="inlineStr">
        <is>
          <t>Group</t>
        </is>
      </c>
      <c r="C45" s="4" t="inlineStr">
        <is>
          <t>local share min · HRC</t>
        </is>
      </c>
      <c r="D45" s="4" t="inlineStr"/>
      <c r="E45" s="4" t="n">
        <v>0.2</v>
      </c>
      <c r="F45" s="4" t="n"/>
      <c r="G45" s="5">
        <f>IF(OR(F45="",E45=0),"",F45/E45-1)</f>
        <v/>
      </c>
    </row>
    <row r="46">
      <c r="A46" s="4" t="inlineStr">
        <is>
          <t>blend_limits.furnaces.EZDK long.dri.min_pct</t>
        </is>
      </c>
      <c r="B46" s="4" t="inlineStr">
        <is>
          <t>EZDK long</t>
        </is>
      </c>
      <c r="C46" s="4" t="inlineStr">
        <is>
          <t>furnaces · dri · min pct</t>
        </is>
      </c>
      <c r="D46" s="4" t="inlineStr">
        <is>
          <t>%</t>
        </is>
      </c>
      <c r="E46" s="4" t="n">
        <v>65</v>
      </c>
      <c r="F46" s="4" t="n"/>
      <c r="G46" s="5">
        <f>IF(OR(F46="",E46=0),"",F46/E46-1)</f>
        <v/>
      </c>
    </row>
    <row r="47">
      <c r="A47" s="4" t="inlineStr">
        <is>
          <t>blend_limits.furnaces.EZDK long.dri.max_pct</t>
        </is>
      </c>
      <c r="B47" s="4" t="inlineStr">
        <is>
          <t>EZDK long</t>
        </is>
      </c>
      <c r="C47" s="4" t="inlineStr">
        <is>
          <t>furnaces · dri · max pct</t>
        </is>
      </c>
      <c r="D47" s="4" t="inlineStr">
        <is>
          <t>%</t>
        </is>
      </c>
      <c r="E47" s="4" t="n">
        <v>95</v>
      </c>
      <c r="F47" s="4" t="n"/>
      <c r="G47" s="5">
        <f>IF(OR(F47="",E47=0),"",F47/E47-1)</f>
        <v/>
      </c>
    </row>
    <row r="48">
      <c r="A48" s="4" t="inlineStr">
        <is>
          <t>blend_limits.furnaces.EZDK long.local_scrap.min_pct</t>
        </is>
      </c>
      <c r="B48" s="4" t="inlineStr">
        <is>
          <t>EZDK long</t>
        </is>
      </c>
      <c r="C48" s="4" t="inlineStr">
        <is>
          <t>furnaces · local scrap · min pct</t>
        </is>
      </c>
      <c r="D48" s="4" t="inlineStr">
        <is>
          <t>%</t>
        </is>
      </c>
      <c r="E48" s="4" t="n">
        <v>0</v>
      </c>
      <c r="F48" s="4" t="n"/>
      <c r="G48" s="5">
        <f>IF(OR(F48="",E48=0),"",F48/E48-1)</f>
        <v/>
      </c>
    </row>
    <row r="49">
      <c r="A49" s="4" t="inlineStr">
        <is>
          <t>blend_limits.furnaces.EZDK long.local_scrap.max_pct</t>
        </is>
      </c>
      <c r="B49" s="4" t="inlineStr">
        <is>
          <t>EZDK long</t>
        </is>
      </c>
      <c r="C49" s="4" t="inlineStr">
        <is>
          <t>furnaces · local scrap · max pct</t>
        </is>
      </c>
      <c r="D49" s="4" t="inlineStr">
        <is>
          <t>%</t>
        </is>
      </c>
      <c r="E49" s="4" t="n">
        <v>25</v>
      </c>
      <c r="F49" s="4" t="n"/>
      <c r="G49" s="5">
        <f>IF(OR(F49="",E49=0),"",F49/E49-1)</f>
        <v/>
      </c>
    </row>
    <row r="50">
      <c r="A50" s="4" t="inlineStr">
        <is>
          <t>blend_limits.furnaces.EZDK long.imported_scrap.min_pct</t>
        </is>
      </c>
      <c r="B50" s="4" t="inlineStr">
        <is>
          <t>EZDK long</t>
        </is>
      </c>
      <c r="C50" s="4" t="inlineStr">
        <is>
          <t>furnaces · imported scrap · min pct</t>
        </is>
      </c>
      <c r="D50" s="4" t="inlineStr">
        <is>
          <t>%</t>
        </is>
      </c>
      <c r="E50" s="4" t="n">
        <v>0</v>
      </c>
      <c r="F50" s="4" t="n"/>
      <c r="G50" s="5">
        <f>IF(OR(F50="",E50=0),"",F50/E50-1)</f>
        <v/>
      </c>
    </row>
    <row r="51">
      <c r="A51" s="4" t="inlineStr">
        <is>
          <t>blend_limits.furnaces.EZDK long.imported_scrap.max_pct</t>
        </is>
      </c>
      <c r="B51" s="4" t="inlineStr">
        <is>
          <t>EZDK long</t>
        </is>
      </c>
      <c r="C51" s="4" t="inlineStr">
        <is>
          <t>furnaces · imported scrap · max pct</t>
        </is>
      </c>
      <c r="D51" s="4" t="inlineStr">
        <is>
          <t>%</t>
        </is>
      </c>
      <c r="E51" s="4" t="n">
        <v>30</v>
      </c>
      <c r="F51" s="4" t="n"/>
      <c r="G51" s="5">
        <f>IF(OR(F51="",E51=0),"",F51/E51-1)</f>
        <v/>
      </c>
    </row>
    <row r="52">
      <c r="A52" s="4" t="inlineStr">
        <is>
          <t>blend_limits.furnaces.EFS long.dri.min_pct</t>
        </is>
      </c>
      <c r="B52" s="4" t="inlineStr">
        <is>
          <t>EFS long</t>
        </is>
      </c>
      <c r="C52" s="4" t="inlineStr">
        <is>
          <t>furnaces · dri · min pct</t>
        </is>
      </c>
      <c r="D52" s="4" t="inlineStr">
        <is>
          <t>%</t>
        </is>
      </c>
      <c r="E52" s="4" t="n">
        <v>65</v>
      </c>
      <c r="F52" s="4" t="n"/>
      <c r="G52" s="5">
        <f>IF(OR(F52="",E52=0),"",F52/E52-1)</f>
        <v/>
      </c>
    </row>
    <row r="53">
      <c r="A53" s="4" t="inlineStr">
        <is>
          <t>blend_limits.furnaces.EFS long.dri.max_pct</t>
        </is>
      </c>
      <c r="B53" s="4" t="inlineStr">
        <is>
          <t>EFS long</t>
        </is>
      </c>
      <c r="C53" s="4" t="inlineStr">
        <is>
          <t>furnaces · dri · max pct</t>
        </is>
      </c>
      <c r="D53" s="4" t="inlineStr">
        <is>
          <t>%</t>
        </is>
      </c>
      <c r="E53" s="4" t="n">
        <v>95</v>
      </c>
      <c r="F53" s="4" t="n"/>
      <c r="G53" s="5">
        <f>IF(OR(F53="",E53=0),"",F53/E53-1)</f>
        <v/>
      </c>
    </row>
    <row r="54">
      <c r="A54" s="4" t="inlineStr">
        <is>
          <t>blend_limits.furnaces.EFS long.local_scrap.min_pct</t>
        </is>
      </c>
      <c r="B54" s="4" t="inlineStr">
        <is>
          <t>EFS long</t>
        </is>
      </c>
      <c r="C54" s="4" t="inlineStr">
        <is>
          <t>furnaces · local scrap · min pct</t>
        </is>
      </c>
      <c r="D54" s="4" t="inlineStr">
        <is>
          <t>%</t>
        </is>
      </c>
      <c r="E54" s="4" t="n">
        <v>0</v>
      </c>
      <c r="F54" s="4" t="n"/>
      <c r="G54" s="5">
        <f>IF(OR(F54="",E54=0),"",F54/E54-1)</f>
        <v/>
      </c>
    </row>
    <row r="55">
      <c r="A55" s="4" t="inlineStr">
        <is>
          <t>blend_limits.furnaces.EFS long.local_scrap.max_pct</t>
        </is>
      </c>
      <c r="B55" s="4" t="inlineStr">
        <is>
          <t>EFS long</t>
        </is>
      </c>
      <c r="C55" s="4" t="inlineStr">
        <is>
          <t>furnaces · local scrap · max pct</t>
        </is>
      </c>
      <c r="D55" s="4" t="inlineStr">
        <is>
          <t>%</t>
        </is>
      </c>
      <c r="E55" s="4" t="n">
        <v>25</v>
      </c>
      <c r="F55" s="4" t="n"/>
      <c r="G55" s="5">
        <f>IF(OR(F55="",E55=0),"",F55/E55-1)</f>
        <v/>
      </c>
    </row>
    <row r="56">
      <c r="A56" s="4" t="inlineStr">
        <is>
          <t>blend_limits.furnaces.EFS long.imported_scrap.min_pct</t>
        </is>
      </c>
      <c r="B56" s="4" t="inlineStr">
        <is>
          <t>EFS long</t>
        </is>
      </c>
      <c r="C56" s="4" t="inlineStr">
        <is>
          <t>furnaces · imported scrap · min pct</t>
        </is>
      </c>
      <c r="D56" s="4" t="inlineStr">
        <is>
          <t>%</t>
        </is>
      </c>
      <c r="E56" s="4" t="n">
        <v>0</v>
      </c>
      <c r="F56" s="4" t="n"/>
      <c r="G56" s="5">
        <f>IF(OR(F56="",E56=0),"",F56/E56-1)</f>
        <v/>
      </c>
    </row>
    <row r="57">
      <c r="A57" s="4" t="inlineStr">
        <is>
          <t>blend_limits.furnaces.EFS long.imported_scrap.max_pct</t>
        </is>
      </c>
      <c r="B57" s="4" t="inlineStr">
        <is>
          <t>EFS long</t>
        </is>
      </c>
      <c r="C57" s="4" t="inlineStr">
        <is>
          <t>furnaces · imported scrap · max pct</t>
        </is>
      </c>
      <c r="D57" s="4" t="inlineStr">
        <is>
          <t>%</t>
        </is>
      </c>
      <c r="E57" s="4" t="n">
        <v>30</v>
      </c>
      <c r="F57" s="4" t="n"/>
      <c r="G57" s="5">
        <f>IF(OR(F57="",E57=0),"",F57/E57-1)</f>
        <v/>
      </c>
    </row>
    <row r="58">
      <c r="A58" s="4" t="inlineStr">
        <is>
          <t>blend_limits.furnaces.ESR long.dri.min_pct</t>
        </is>
      </c>
      <c r="B58" s="4" t="inlineStr">
        <is>
          <t>ESR long</t>
        </is>
      </c>
      <c r="C58" s="4" t="inlineStr">
        <is>
          <t>furnaces · dri · min pct</t>
        </is>
      </c>
      <c r="D58" s="4" t="inlineStr">
        <is>
          <t>%</t>
        </is>
      </c>
      <c r="E58" s="4" t="n">
        <v>0</v>
      </c>
      <c r="F58" s="4" t="n"/>
      <c r="G58" s="5">
        <f>IF(OR(F58="",E58=0),"",F58/E58-1)</f>
        <v/>
      </c>
    </row>
    <row r="59">
      <c r="A59" s="4" t="inlineStr">
        <is>
          <t>blend_limits.furnaces.ESR long.dri.max_pct</t>
        </is>
      </c>
      <c r="B59" s="4" t="inlineStr">
        <is>
          <t>ESR long</t>
        </is>
      </c>
      <c r="C59" s="4" t="inlineStr">
        <is>
          <t>furnaces · dri · max pct</t>
        </is>
      </c>
      <c r="D59" s="4" t="inlineStr">
        <is>
          <t>%</t>
        </is>
      </c>
      <c r="E59" s="4" t="n">
        <v>30</v>
      </c>
      <c r="F59" s="4" t="n"/>
      <c r="G59" s="5">
        <f>IF(OR(F59="",E59=0),"",F59/E59-1)</f>
        <v/>
      </c>
    </row>
    <row r="60">
      <c r="A60" s="4" t="inlineStr">
        <is>
          <t>blend_limits.furnaces.ESR long.local_scrap.min_pct</t>
        </is>
      </c>
      <c r="B60" s="4" t="inlineStr">
        <is>
          <t>ESR long</t>
        </is>
      </c>
      <c r="C60" s="4" t="inlineStr">
        <is>
          <t>furnaces · local scrap · min pct</t>
        </is>
      </c>
      <c r="D60" s="4" t="inlineStr">
        <is>
          <t>%</t>
        </is>
      </c>
      <c r="E60" s="4" t="n">
        <v>0</v>
      </c>
      <c r="F60" s="4" t="n"/>
      <c r="G60" s="5">
        <f>IF(OR(F60="",E60=0),"",F60/E60-1)</f>
        <v/>
      </c>
    </row>
    <row r="61">
      <c r="A61" s="4" t="inlineStr">
        <is>
          <t>blend_limits.furnaces.ESR long.local_scrap.max_pct</t>
        </is>
      </c>
      <c r="B61" s="4" t="inlineStr">
        <is>
          <t>ESR long</t>
        </is>
      </c>
      <c r="C61" s="4" t="inlineStr">
        <is>
          <t>furnaces · local scrap · max pct</t>
        </is>
      </c>
      <c r="D61" s="4" t="inlineStr">
        <is>
          <t>%</t>
        </is>
      </c>
      <c r="E61" s="4" t="n">
        <v>40</v>
      </c>
      <c r="F61" s="4" t="n"/>
      <c r="G61" s="5">
        <f>IF(OR(F61="",E61=0),"",F61/E61-1)</f>
        <v/>
      </c>
    </row>
    <row r="62">
      <c r="A62" s="4" t="inlineStr">
        <is>
          <t>blend_limits.furnaces.ESR long.imported_scrap.min_pct</t>
        </is>
      </c>
      <c r="B62" s="4" t="inlineStr">
        <is>
          <t>ESR long</t>
        </is>
      </c>
      <c r="C62" s="4" t="inlineStr">
        <is>
          <t>furnaces · imported scrap · min pct</t>
        </is>
      </c>
      <c r="D62" s="4" t="inlineStr">
        <is>
          <t>%</t>
        </is>
      </c>
      <c r="E62" s="4" t="n">
        <v>0</v>
      </c>
      <c r="F62" s="4" t="n"/>
      <c r="G62" s="5">
        <f>IF(OR(F62="",E62=0),"",F62/E62-1)</f>
        <v/>
      </c>
    </row>
    <row r="63">
      <c r="A63" s="4" t="inlineStr">
        <is>
          <t>blend_limits.furnaces.ESR long.imported_scrap.max_pct</t>
        </is>
      </c>
      <c r="B63" s="4" t="inlineStr">
        <is>
          <t>ESR long</t>
        </is>
      </c>
      <c r="C63" s="4" t="inlineStr">
        <is>
          <t>furnaces · imported scrap · max pct</t>
        </is>
      </c>
      <c r="D63" s="4" t="inlineStr">
        <is>
          <t>%</t>
        </is>
      </c>
      <c r="E63" s="4" t="n">
        <v>100</v>
      </c>
      <c r="F63" s="4" t="n"/>
      <c r="G63" s="5">
        <f>IF(OR(F63="",E63=0),"",F63/E63-1)</f>
        <v/>
      </c>
    </row>
    <row r="64">
      <c r="A64" s="4" t="inlineStr">
        <is>
          <t>blend_limits.furnaces.EZDK flat.dri.min_pct</t>
        </is>
      </c>
      <c r="B64" s="4" t="inlineStr">
        <is>
          <t>EZDK flat</t>
        </is>
      </c>
      <c r="C64" s="4" t="inlineStr">
        <is>
          <t>furnaces · dri · min pct</t>
        </is>
      </c>
      <c r="D64" s="4" t="inlineStr">
        <is>
          <t>%</t>
        </is>
      </c>
      <c r="E64" s="4" t="n">
        <v>70</v>
      </c>
      <c r="F64" s="4" t="n"/>
      <c r="G64" s="5">
        <f>IF(OR(F64="",E64=0),"",F64/E64-1)</f>
        <v/>
      </c>
    </row>
    <row r="65">
      <c r="A65" s="4" t="inlineStr">
        <is>
          <t>blend_limits.furnaces.EZDK flat.dri.max_pct</t>
        </is>
      </c>
      <c r="B65" s="4" t="inlineStr">
        <is>
          <t>EZDK flat</t>
        </is>
      </c>
      <c r="C65" s="4" t="inlineStr">
        <is>
          <t>furnaces · dri · max pct</t>
        </is>
      </c>
      <c r="D65" s="4" t="inlineStr">
        <is>
          <t>%</t>
        </is>
      </c>
      <c r="E65" s="4" t="n">
        <v>95</v>
      </c>
      <c r="F65" s="4" t="n"/>
      <c r="G65" s="5">
        <f>IF(OR(F65="",E65=0),"",F65/E65-1)</f>
        <v/>
      </c>
    </row>
    <row r="66">
      <c r="A66" s="4" t="inlineStr">
        <is>
          <t>blend_limits.furnaces.EZDK flat.local_scrap.min_pct</t>
        </is>
      </c>
      <c r="B66" s="4" t="inlineStr">
        <is>
          <t>EZDK flat</t>
        </is>
      </c>
      <c r="C66" s="4" t="inlineStr">
        <is>
          <t>furnaces · local scrap · min pct</t>
        </is>
      </c>
      <c r="D66" s="4" t="inlineStr">
        <is>
          <t>%</t>
        </is>
      </c>
      <c r="E66" s="4" t="n">
        <v>0</v>
      </c>
      <c r="F66" s="4" t="n"/>
      <c r="G66" s="5">
        <f>IF(OR(F66="",E66=0),"",F66/E66-1)</f>
        <v/>
      </c>
    </row>
    <row r="67">
      <c r="A67" s="4" t="inlineStr">
        <is>
          <t>blend_limits.furnaces.EZDK flat.local_scrap.max_pct</t>
        </is>
      </c>
      <c r="B67" s="4" t="inlineStr">
        <is>
          <t>EZDK flat</t>
        </is>
      </c>
      <c r="C67" s="4" t="inlineStr">
        <is>
          <t>furnaces · local scrap · max pct</t>
        </is>
      </c>
      <c r="D67" s="4" t="inlineStr">
        <is>
          <t>%</t>
        </is>
      </c>
      <c r="E67" s="4" t="n">
        <v>25</v>
      </c>
      <c r="F67" s="4" t="n"/>
      <c r="G67" s="5">
        <f>IF(OR(F67="",E67=0),"",F67/E67-1)</f>
        <v/>
      </c>
    </row>
    <row r="68">
      <c r="A68" s="4" t="inlineStr">
        <is>
          <t>blend_limits.furnaces.EZDK flat.imported_scrap.min_pct</t>
        </is>
      </c>
      <c r="B68" s="4" t="inlineStr">
        <is>
          <t>EZDK flat</t>
        </is>
      </c>
      <c r="C68" s="4" t="inlineStr">
        <is>
          <t>furnaces · imported scrap · min pct</t>
        </is>
      </c>
      <c r="D68" s="4" t="inlineStr">
        <is>
          <t>%</t>
        </is>
      </c>
      <c r="E68" s="4" t="n">
        <v>0</v>
      </c>
      <c r="F68" s="4" t="n"/>
      <c r="G68" s="5">
        <f>IF(OR(F68="",E68=0),"",F68/E68-1)</f>
        <v/>
      </c>
    </row>
    <row r="69">
      <c r="A69" s="4" t="inlineStr">
        <is>
          <t>blend_limits.furnaces.EZDK flat.imported_scrap.max_pct</t>
        </is>
      </c>
      <c r="B69" s="4" t="inlineStr">
        <is>
          <t>EZDK flat</t>
        </is>
      </c>
      <c r="C69" s="4" t="inlineStr">
        <is>
          <t>furnaces · imported scrap · max pct</t>
        </is>
      </c>
      <c r="D69" s="4" t="inlineStr">
        <is>
          <t>%</t>
        </is>
      </c>
      <c r="E69" s="4" t="n">
        <v>20</v>
      </c>
      <c r="F69" s="4" t="n"/>
      <c r="G69" s="5">
        <f>IF(OR(F69="",E69=0),"",F69/E69-1)</f>
        <v/>
      </c>
    </row>
    <row r="70">
      <c r="A70" s="4" t="inlineStr">
        <is>
          <t>blend_limits.furnaces.EFS flat.dri.min_pct</t>
        </is>
      </c>
      <c r="B70" s="4" t="inlineStr">
        <is>
          <t>EFS flat</t>
        </is>
      </c>
      <c r="C70" s="4" t="inlineStr">
        <is>
          <t>furnaces · dri · min pct</t>
        </is>
      </c>
      <c r="D70" s="4" t="inlineStr">
        <is>
          <t>%</t>
        </is>
      </c>
      <c r="E70" s="4" t="n">
        <v>70</v>
      </c>
      <c r="F70" s="4" t="n"/>
      <c r="G70" s="5">
        <f>IF(OR(F70="",E70=0),"",F70/E70-1)</f>
        <v/>
      </c>
    </row>
    <row r="71">
      <c r="A71" s="4" t="inlineStr">
        <is>
          <t>blend_limits.furnaces.EFS flat.dri.max_pct</t>
        </is>
      </c>
      <c r="B71" s="4" t="inlineStr">
        <is>
          <t>EFS flat</t>
        </is>
      </c>
      <c r="C71" s="4" t="inlineStr">
        <is>
          <t>furnaces · dri · max pct</t>
        </is>
      </c>
      <c r="D71" s="4" t="inlineStr">
        <is>
          <t>%</t>
        </is>
      </c>
      <c r="E71" s="4" t="n">
        <v>95</v>
      </c>
      <c r="F71" s="4" t="n"/>
      <c r="G71" s="5">
        <f>IF(OR(F71="",E71=0),"",F71/E71-1)</f>
        <v/>
      </c>
    </row>
    <row r="72">
      <c r="A72" s="4" t="inlineStr">
        <is>
          <t>blend_limits.furnaces.EFS flat.local_scrap.min_pct</t>
        </is>
      </c>
      <c r="B72" s="4" t="inlineStr">
        <is>
          <t>EFS flat</t>
        </is>
      </c>
      <c r="C72" s="4" t="inlineStr">
        <is>
          <t>furnaces · local scrap · min pct</t>
        </is>
      </c>
      <c r="D72" s="4" t="inlineStr">
        <is>
          <t>%</t>
        </is>
      </c>
      <c r="E72" s="4" t="n">
        <v>0</v>
      </c>
      <c r="F72" s="4" t="n"/>
      <c r="G72" s="5">
        <f>IF(OR(F72="",E72=0),"",F72/E72-1)</f>
        <v/>
      </c>
    </row>
    <row r="73">
      <c r="A73" s="4" t="inlineStr">
        <is>
          <t>blend_limits.furnaces.EFS flat.local_scrap.max_pct</t>
        </is>
      </c>
      <c r="B73" s="4" t="inlineStr">
        <is>
          <t>EFS flat</t>
        </is>
      </c>
      <c r="C73" s="4" t="inlineStr">
        <is>
          <t>furnaces · local scrap · max pct</t>
        </is>
      </c>
      <c r="D73" s="4" t="inlineStr">
        <is>
          <t>%</t>
        </is>
      </c>
      <c r="E73" s="4" t="n">
        <v>25</v>
      </c>
      <c r="F73" s="4" t="n"/>
      <c r="G73" s="5">
        <f>IF(OR(F73="",E73=0),"",F73/E73-1)</f>
        <v/>
      </c>
    </row>
    <row r="74">
      <c r="A74" s="4" t="inlineStr">
        <is>
          <t>blend_limits.furnaces.EFS flat.imported_scrap.min_pct</t>
        </is>
      </c>
      <c r="B74" s="4" t="inlineStr">
        <is>
          <t>EFS flat</t>
        </is>
      </c>
      <c r="C74" s="4" t="inlineStr">
        <is>
          <t>furnaces · imported scrap · min pct</t>
        </is>
      </c>
      <c r="D74" s="4" t="inlineStr">
        <is>
          <t>%</t>
        </is>
      </c>
      <c r="E74" s="4" t="n">
        <v>0</v>
      </c>
      <c r="F74" s="4" t="n"/>
      <c r="G74" s="5">
        <f>IF(OR(F74="",E74=0),"",F74/E74-1)</f>
        <v/>
      </c>
    </row>
    <row r="75">
      <c r="A75" s="4" t="inlineStr">
        <is>
          <t>blend_limits.furnaces.EFS flat.imported_scrap.max_pct</t>
        </is>
      </c>
      <c r="B75" s="4" t="inlineStr">
        <is>
          <t>EFS flat</t>
        </is>
      </c>
      <c r="C75" s="4" t="inlineStr">
        <is>
          <t>furnaces · imported scrap · max pct</t>
        </is>
      </c>
      <c r="D75" s="4" t="inlineStr">
        <is>
          <t>%</t>
        </is>
      </c>
      <c r="E75" s="4" t="n">
        <v>20</v>
      </c>
      <c r="F75" s="4" t="n"/>
      <c r="G75" s="5">
        <f>IF(OR(F75="",E75=0),"",F75/E75-1)</f>
        <v/>
      </c>
    </row>
    <row r="76">
      <c r="A76" s="4" t="inlineStr">
        <is>
          <t>blend_limits.local_scrap_supply_kt</t>
        </is>
      </c>
      <c r="B76" s="4" t="inlineStr">
        <is>
          <t>Group</t>
        </is>
      </c>
      <c r="C76" s="4" t="inlineStr">
        <is>
          <t>local scrap supply kt</t>
        </is>
      </c>
      <c r="D76" s="4" t="inlineStr">
        <is>
          <t>kt</t>
        </is>
      </c>
      <c r="E76" s="4" t="n">
        <v>82</v>
      </c>
      <c r="F76" s="4" t="n"/>
      <c r="G76" s="5">
        <f>IF(OR(F76="",E76=0),"",F76/E76-1)</f>
        <v/>
      </c>
    </row>
    <row r="77">
      <c r="A77" s="4" t="n"/>
      <c r="B77" s="4" t="n"/>
      <c r="C77" s="6" t="inlineStr">
        <is>
          <t>Distribution total EZDK (must be 100)</t>
        </is>
      </c>
      <c r="D77" s="4" t="n"/>
      <c r="E77" s="4" t="n"/>
      <c r="F77" s="4">
        <f>IF(F6="",E6,F6)+IF(F7="",E7,F7)+IF(F8="",E8,F8)+IF(F9="",E9,F9)</f>
        <v/>
      </c>
      <c r="G77" s="4">
        <f>IF(ABS(F77-100)&lt;0.01,"OK","CHECK")</f>
        <v/>
      </c>
    </row>
    <row r="78">
      <c r="A78" s="4" t="n"/>
      <c r="B78" s="4" t="n"/>
      <c r="C78" s="6" t="inlineStr">
        <is>
          <t>Distribution total EFS (must be 100)</t>
        </is>
      </c>
      <c r="D78" s="4" t="n"/>
      <c r="E78" s="4" t="n"/>
      <c r="F78" s="4">
        <f>IF(F14="",E14,F14)+IF(F15="",E15,F15)+IF(F16="",E16,F16)+IF(F17="",E17,F17)</f>
        <v/>
      </c>
      <c r="G78" s="4">
        <f>IF(ABS(F78-100)&lt;0.01,"OK","CHECK")</f>
        <v/>
      </c>
    </row>
    <row r="79">
      <c r="A79" s="4" t="n"/>
      <c r="B79" s="4" t="n"/>
      <c r="C79" s="6" t="inlineStr">
        <is>
          <t>Distribution total ERM (must be 100)</t>
        </is>
      </c>
      <c r="D79" s="4" t="n"/>
      <c r="E79" s="4" t="n"/>
      <c r="F79" s="4">
        <f>IF(F22="",E22,F22)+IF(F23="",E23,F23)+IF(F24="",E24,F24)+IF(F25="",E25,F25)</f>
        <v/>
      </c>
      <c r="G79" s="4">
        <f>IF(ABS(F79-100)&lt;0.01,"OK","CHECK")</f>
        <v/>
      </c>
    </row>
    <row r="80">
      <c r="A80" s="4" t="n"/>
      <c r="B80" s="4" t="n"/>
      <c r="C80" s="6" t="inlineStr">
        <is>
          <t>Distribution total ESR (must be 100)</t>
        </is>
      </c>
      <c r="D80" s="4" t="n"/>
      <c r="E80" s="4" t="n"/>
      <c r="F80" s="4">
        <f>IF(F30="",E30,F30)+IF(F31="",E31,F31)+IF(F32="",E32,F32)+IF(F33="",E33,F33)</f>
        <v/>
      </c>
      <c r="G80" s="4">
        <f>IF(ABS(F80-100)&lt;0.01,"OK","CHECK")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1" max="1"/>
    <col width="16" customWidth="1" min="2" max="2"/>
    <col width="58" customWidth="1" min="3" max="3"/>
    <col width="24" customWidth="1" min="4" max="4"/>
    <col width="20" customWidth="1" min="5" max="5"/>
    <col width="16" customWidth="1" min="6" max="6"/>
    <col width="10" customWidth="1" min="7" max="7"/>
  </cols>
  <sheetData>
    <row r="1">
      <c r="A1" s="3" t="inlineStr">
        <is>
          <t>Path</t>
        </is>
      </c>
      <c r="B1" s="3" t="inlineStr">
        <is>
          <t>Company / line</t>
        </is>
      </c>
      <c r="C1" s="3" t="inlineStr">
        <is>
          <t>Input</t>
        </is>
      </c>
      <c r="D1" s="3" t="inlineStr">
        <is>
          <t>Unit</t>
        </is>
      </c>
      <c r="E1" s="3" t="inlineStr">
        <is>
          <t>Last month (read-only)</t>
        </is>
      </c>
      <c r="F1" s="3" t="inlineStr">
        <is>
          <t>This month</t>
        </is>
      </c>
      <c r="G1" s="3" t="inlineStr">
        <is>
          <t>% change</t>
        </is>
      </c>
    </row>
    <row r="2">
      <c r="A2" s="4" t="inlineStr">
        <is>
          <t>billet.companies.EZDK.dri_margin_from_erm_usd_t</t>
        </is>
      </c>
      <c r="B2" s="4" t="inlineStr">
        <is>
          <t>EZDK</t>
        </is>
      </c>
      <c r="C2" s="4" t="inlineStr">
        <is>
          <t>dri margin from erm usd t</t>
        </is>
      </c>
      <c r="D2" s="4" t="inlineStr">
        <is>
          <t>$/t</t>
        </is>
      </c>
      <c r="E2" s="4" t="n">
        <v>0</v>
      </c>
      <c r="F2" s="4" t="n"/>
      <c r="G2" s="5">
        <f>IF(OR(F2="",E2=0),"",F2/E2-1)</f>
        <v/>
      </c>
    </row>
    <row r="3">
      <c r="A3" s="4" t="inlineStr">
        <is>
          <t>billet.companies.EFS.dri_margin_from_erm_usd_t</t>
        </is>
      </c>
      <c r="B3" s="4" t="inlineStr">
        <is>
          <t>EFS</t>
        </is>
      </c>
      <c r="C3" s="4" t="inlineStr">
        <is>
          <t>dri margin from erm usd t</t>
        </is>
      </c>
      <c r="D3" s="4" t="inlineStr">
        <is>
          <t>$/t</t>
        </is>
      </c>
      <c r="E3" s="4" t="n">
        <v>1.62852489044697</v>
      </c>
      <c r="F3" s="4" t="n"/>
      <c r="G3" s="5">
        <f>IF(OR(F3="",E3=0),"",F3/E3-1)</f>
        <v/>
      </c>
    </row>
    <row r="4">
      <c r="A4" s="4" t="inlineStr">
        <is>
          <t>billet.companies.ESR.dri_margin_from_erm_usd_t</t>
        </is>
      </c>
      <c r="B4" s="4" t="inlineStr">
        <is>
          <t>ESR</t>
        </is>
      </c>
      <c r="C4" s="4" t="inlineStr">
        <is>
          <t>dri margin from erm usd t</t>
        </is>
      </c>
      <c r="D4" s="4" t="inlineStr">
        <is>
          <t>$/t</t>
        </is>
      </c>
      <c r="E4" s="4" t="n">
        <v>8.988524890446993</v>
      </c>
      <c r="F4" s="4" t="n"/>
      <c r="G4" s="5">
        <f>IF(OR(F4="",E4=0),"",F4/E4-1)</f>
        <v/>
      </c>
    </row>
    <row r="5">
      <c r="A5" s="4" t="inlineStr">
        <is>
          <t>sourcing.ERM_rebar_billet</t>
        </is>
      </c>
      <c r="B5" s="4" t="inlineStr">
        <is>
          <t>Group</t>
        </is>
      </c>
      <c r="C5" s="4" t="inlineStr">
        <is>
          <t>ERM rebar billet</t>
        </is>
      </c>
      <c r="D5" s="4" t="inlineStr"/>
      <c r="E5" s="4" t="inlineStr">
        <is>
          <t>min</t>
        </is>
      </c>
      <c r="F5" s="4" t="n"/>
      <c r="G5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2026-10-14T09:37:31Z</dcterms:created>
  <dcterms:modified xmlns:dcterms="http://purl.org/dc/terms/" xmlns:xsi="http://www.w3.org/2001/XMLSchema-instance" xsi:type="dcterms:W3CDTF">2026-10-14T09:37:32Z</dcterms:modified>
</cp:coreProperties>
</file>