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drawings/drawing10.xml" ContentType="application/vnd.openxmlformats-officedocument.drawingml.chartshapes+xml"/>
  <Override PartName="/xl/charts/chart14.xml" ContentType="application/vnd.openxmlformats-officedocument.drawingml.chart+xml"/>
  <Override PartName="/xl/drawings/drawing11.xml" ContentType="application/vnd.openxmlformats-officedocument.drawingml.chartshapes+xml"/>
  <Override PartName="/xl/charts/chart15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oustafa\Downloads\"/>
    </mc:Choice>
  </mc:AlternateContent>
  <xr:revisionPtr revIDLastSave="0" documentId="8_{3DFED81F-EFD6-417B-BABB-6D5348F19692}" xr6:coauthVersionLast="47" xr6:coauthVersionMax="47" xr10:uidLastSave="{00000000-0000-0000-0000-000000000000}"/>
  <bookViews>
    <workbookView xWindow="-110" yWindow="-110" windowWidth="19420" windowHeight="11500" tabRatio="884" firstSheet="14" activeTab="21" xr2:uid="{00000000-000D-0000-FFFF-FFFF00000000}"/>
  </bookViews>
  <sheets>
    <sheet name="DRI Cost" sheetId="9" state="hidden" r:id="rId1"/>
    <sheet name="EZDK Rebar" sheetId="24" state="hidden" r:id="rId2"/>
    <sheet name="EFS Rebar" sheetId="27" state="hidden" r:id="rId3"/>
    <sheet name="ERM Rolling" sheetId="6" state="hidden" r:id="rId4"/>
    <sheet name="ESR Rebar" sheetId="10" r:id="rId5"/>
    <sheet name="EZDK Wire" sheetId="29" state="hidden" r:id="rId6"/>
    <sheet name="EZDK Flat" sheetId="32" state="hidden" r:id="rId7"/>
    <sheet name="EFS Flat" sheetId="31" state="hidden" r:id="rId8"/>
    <sheet name="Fixed Cost" sheetId="17" r:id="rId9"/>
    <sheet name="DRI" sheetId="13" r:id="rId10"/>
    <sheet name="Billet" sheetId="14" r:id="rId11"/>
    <sheet name="Rebar" sheetId="15" r:id="rId12"/>
    <sheet name="Wire" sheetId="28" r:id="rId13"/>
    <sheet name="Flat" sheetId="16" r:id="rId14"/>
    <sheet name="Market Share" sheetId="22" r:id="rId15"/>
    <sheet name="Production Requirments" sheetId="23" r:id="rId16"/>
    <sheet name="P&amp;L $ Monthly" sheetId="18" r:id="rId17"/>
    <sheet name="P&amp;L LE Monthly" sheetId="36" r:id="rId18"/>
    <sheet name="P&amp;L $ Annual" sheetId="37" r:id="rId19"/>
    <sheet name="P&amp;L LE Annual" sheetId="38" r:id="rId20"/>
    <sheet name="P&amp;L Sc2" sheetId="34" state="hidden" r:id="rId21"/>
    <sheet name="Production Plan Monthly" sheetId="39" r:id="rId22"/>
    <sheet name="BS" sheetId="41" state="hidden" r:id="rId23"/>
    <sheet name="Sheet1" sheetId="42" r:id="rId24"/>
    <sheet name="Sheet2" sheetId="43" state="hidden" r:id="rId25"/>
    <sheet name="Sheet4" sheetId="45" r:id="rId26"/>
    <sheet name="Sheet5" sheetId="46" r:id="rId27"/>
    <sheet name="Sheet6" sheetId="47" r:id="rId28"/>
  </sheets>
  <externalReferences>
    <externalReference r:id="rId29"/>
  </externalReferences>
  <definedNames>
    <definedName name="_xlnm.Print_Area" localSheetId="10">Billet!$B$2:$P$54</definedName>
    <definedName name="_xlnm.Print_Area" localSheetId="9">DRI!$B$2:$O$24</definedName>
    <definedName name="_xlnm.Print_Area" localSheetId="0">'DRI Cost'!$B$1:$F$49</definedName>
    <definedName name="_xlnm.Print_Area" localSheetId="3">'ERM Rolling'!$B$1:$E$59</definedName>
    <definedName name="_xlnm.Print_Area" localSheetId="5">'EZDK Wire'!$B$1:$E$59</definedName>
    <definedName name="_xlnm.Print_Area" localSheetId="8">'Fixed Cost'!$B$2:$H$26</definedName>
    <definedName name="_xlnm.Print_Area" localSheetId="13">Flat!$B$2:$O$32</definedName>
    <definedName name="_xlnm.Print_Area" localSheetId="14">'Market Share'!$A$1:$L$39</definedName>
    <definedName name="_xlnm.Print_Area" localSheetId="20">'P&amp;L Sc2'!$B$2:$R$42</definedName>
    <definedName name="_xlnm.Print_Area" localSheetId="15">'Production Requirments'!$B$2:$Q$47</definedName>
    <definedName name="_xlnm.Print_Area" localSheetId="11">Rebar!$B$2:$Q$36</definedName>
    <definedName name="_xlnm.Print_Area" localSheetId="23">Sheet1!$B$1:$R$34</definedName>
    <definedName name="_xlnm.Print_Area" localSheetId="12">Wire!$B$2:$L$36</definedName>
    <definedName name="_xlnm.Print_Titles" localSheetId="3">'ERM Rolling'!$4:$5</definedName>
    <definedName name="_xlnm.Print_Titles" localSheetId="5">'EZDK Wire'!$4:$5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47" l="1"/>
  <c r="C31" i="47"/>
  <c r="C25" i="47"/>
  <c r="E25" i="47" s="1"/>
  <c r="C24" i="47"/>
  <c r="E24" i="47" s="1"/>
  <c r="C30" i="47"/>
  <c r="D30" i="47" s="1"/>
  <c r="H29" i="47"/>
  <c r="H30" i="47" s="1"/>
  <c r="H31" i="47" s="1"/>
  <c r="H25" i="47"/>
  <c r="F8" i="47" s="1"/>
  <c r="H24" i="47"/>
  <c r="F7" i="47" s="1"/>
  <c r="F9" i="47" s="1"/>
  <c r="H23" i="47"/>
  <c r="H22" i="47"/>
  <c r="F16" i="47" s="1"/>
  <c r="C28" i="47"/>
  <c r="E29" i="47" s="1"/>
  <c r="E16" i="47" s="1"/>
  <c r="E26" i="47"/>
  <c r="E23" i="47"/>
  <c r="E22" i="47"/>
  <c r="D31" i="47"/>
  <c r="D29" i="47"/>
  <c r="R19" i="45"/>
  <c r="R20" i="45"/>
  <c r="Q23" i="45"/>
  <c r="Q20" i="45"/>
  <c r="Q19" i="45"/>
  <c r="P23" i="45"/>
  <c r="P20" i="45"/>
  <c r="P19" i="45"/>
  <c r="L21" i="45"/>
  <c r="E33" i="47" l="1"/>
  <c r="C27" i="47"/>
  <c r="D33" i="47" s="1"/>
  <c r="D28" i="47"/>
  <c r="E32" i="47"/>
  <c r="E8" i="47" s="1"/>
  <c r="E30" i="47"/>
  <c r="E6" i="47" s="1"/>
  <c r="D32" i="47"/>
  <c r="H32" i="47"/>
  <c r="H33" i="47" s="1"/>
  <c r="H34" i="47" s="1"/>
  <c r="E31" i="47"/>
  <c r="E7" i="47" s="1"/>
  <c r="E9" i="47" s="1"/>
  <c r="E27" i="47" l="1"/>
  <c r="E12" i="47"/>
  <c r="E11" i="47" s="1"/>
  <c r="F6" i="47"/>
  <c r="F12" i="47" s="1"/>
  <c r="E14" i="47" l="1"/>
  <c r="F11" i="47"/>
  <c r="F14" i="47"/>
  <c r="C21" i="46" l="1"/>
  <c r="C20" i="46"/>
  <c r="M13" i="46"/>
  <c r="O13" i="46" s="1"/>
  <c r="P13" i="46" s="1"/>
  <c r="Q13" i="46" s="1"/>
  <c r="N17" i="46"/>
  <c r="P17" i="46" s="1"/>
  <c r="Q17" i="46" s="1"/>
  <c r="N16" i="46"/>
  <c r="P16" i="46" s="1"/>
  <c r="Q16" i="46" s="1"/>
  <c r="M15" i="46"/>
  <c r="L15" i="46"/>
  <c r="M11" i="46"/>
  <c r="M8" i="46"/>
  <c r="O8" i="46" s="1"/>
  <c r="P8" i="46" s="1"/>
  <c r="Q8" i="46" s="1"/>
  <c r="L11" i="46"/>
  <c r="M12" i="46"/>
  <c r="O12" i="46" s="1"/>
  <c r="P12" i="46" s="1"/>
  <c r="Q12" i="46" s="1"/>
  <c r="L12" i="46"/>
  <c r="M9" i="46"/>
  <c r="O9" i="46" s="1"/>
  <c r="P9" i="46" s="1"/>
  <c r="Q9" i="46" s="1"/>
  <c r="L9" i="46"/>
  <c r="O14" i="46"/>
  <c r="P14" i="46" s="1"/>
  <c r="Q14" i="46" s="1"/>
  <c r="O10" i="46"/>
  <c r="P10" i="46" s="1"/>
  <c r="Q10" i="46" s="1"/>
  <c r="O7" i="46"/>
  <c r="P7" i="46" s="1"/>
  <c r="Q7" i="46" s="1"/>
  <c r="O5" i="46"/>
  <c r="P5" i="46" s="1"/>
  <c r="Q5" i="46" s="1"/>
  <c r="M6" i="46"/>
  <c r="O6" i="46" s="1"/>
  <c r="P6" i="46" s="1"/>
  <c r="Q6" i="46" s="1"/>
  <c r="M4" i="46"/>
  <c r="O4" i="46" s="1"/>
  <c r="L6" i="46"/>
  <c r="K21" i="46" s="1"/>
  <c r="L4" i="46"/>
  <c r="K20" i="46" s="1"/>
  <c r="E230" i="10"/>
  <c r="E229" i="10"/>
  <c r="E214" i="10"/>
  <c r="E213" i="10"/>
  <c r="E212" i="10"/>
  <c r="E206" i="10"/>
  <c r="E205" i="10"/>
  <c r="E203" i="10"/>
  <c r="E202" i="10"/>
  <c r="E201" i="10"/>
  <c r="E200" i="10"/>
  <c r="E199" i="10"/>
  <c r="E196" i="10"/>
  <c r="E195" i="10"/>
  <c r="E194" i="10"/>
  <c r="E190" i="10"/>
  <c r="H9" i="46"/>
  <c r="H6" i="46"/>
  <c r="G4" i="46"/>
  <c r="H4" i="46" s="1"/>
  <c r="G17" i="46"/>
  <c r="H17" i="46" s="1"/>
  <c r="G16" i="46"/>
  <c r="H16" i="46" s="1"/>
  <c r="G14" i="46"/>
  <c r="H14" i="46" s="1"/>
  <c r="G13" i="46"/>
  <c r="H13" i="46" s="1"/>
  <c r="G12" i="46"/>
  <c r="H12" i="46" s="1"/>
  <c r="G11" i="46"/>
  <c r="H11" i="46" s="1"/>
  <c r="G10" i="46"/>
  <c r="H10" i="46" s="1"/>
  <c r="G9" i="46"/>
  <c r="G8" i="46"/>
  <c r="H8" i="46" s="1"/>
  <c r="G7" i="46"/>
  <c r="H7" i="46" s="1"/>
  <c r="G6" i="46"/>
  <c r="G5" i="46"/>
  <c r="H5" i="46" s="1"/>
  <c r="G15" i="46"/>
  <c r="H15" i="46" s="1"/>
  <c r="F51" i="45"/>
  <c r="E51" i="45"/>
  <c r="F62" i="45"/>
  <c r="E62" i="45"/>
  <c r="L57" i="45"/>
  <c r="L56" i="45"/>
  <c r="L55" i="45"/>
  <c r="K41" i="45"/>
  <c r="E41" i="45"/>
  <c r="H41" i="45"/>
  <c r="K61" i="45"/>
  <c r="L61" i="45" s="1"/>
  <c r="K65" i="45"/>
  <c r="L65" i="45" s="1"/>
  <c r="I69" i="45"/>
  <c r="I65" i="45"/>
  <c r="H65" i="45"/>
  <c r="I64" i="45"/>
  <c r="H64" i="45"/>
  <c r="G10" i="14"/>
  <c r="G9" i="14"/>
  <c r="H61" i="45"/>
  <c r="H16" i="45" s="1"/>
  <c r="H63" i="45"/>
  <c r="F65" i="45"/>
  <c r="E65" i="45"/>
  <c r="F64" i="45"/>
  <c r="E64" i="45"/>
  <c r="N18" i="46" l="1"/>
  <c r="O15" i="46"/>
  <c r="P15" i="46" s="1"/>
  <c r="Q15" i="46" s="1"/>
  <c r="O11" i="46"/>
  <c r="P11" i="46" s="1"/>
  <c r="Q11" i="46" s="1"/>
  <c r="P4" i="46"/>
  <c r="Q4" i="46" s="1"/>
  <c r="G18" i="46"/>
  <c r="H18" i="46" s="1"/>
  <c r="F18" i="46"/>
  <c r="I10" i="45"/>
  <c r="E6" i="45"/>
  <c r="E68" i="45" s="1"/>
  <c r="L58" i="45"/>
  <c r="L73" i="45" s="1"/>
  <c r="K19" i="45"/>
  <c r="K23" i="45"/>
  <c r="K16" i="45"/>
  <c r="I16" i="45"/>
  <c r="H19" i="45"/>
  <c r="H23" i="45"/>
  <c r="I61" i="45"/>
  <c r="I70" i="45"/>
  <c r="O18" i="46" l="1"/>
  <c r="P18" i="46" s="1"/>
  <c r="Q18" i="46" s="1"/>
  <c r="L12" i="45"/>
  <c r="L23" i="45"/>
  <c r="I23" i="45"/>
  <c r="F44" i="45" l="1"/>
  <c r="H44" i="45" s="1"/>
  <c r="I44" i="45" s="1"/>
  <c r="K44" i="45" s="1"/>
  <c r="L44" i="45" s="1"/>
  <c r="F63" i="45"/>
  <c r="E61" i="45" l="1"/>
  <c r="E63" i="45"/>
  <c r="K42" i="45"/>
  <c r="H42" i="45"/>
  <c r="I42" i="45" s="1"/>
  <c r="I19" i="45" s="1"/>
  <c r="E42" i="45"/>
  <c r="F42" i="45" s="1"/>
  <c r="J23" i="43"/>
  <c r="J25" i="43"/>
  <c r="M25" i="43" s="1"/>
  <c r="H27" i="43"/>
  <c r="H26" i="43"/>
  <c r="H25" i="43"/>
  <c r="H24" i="43"/>
  <c r="K23" i="43"/>
  <c r="I23" i="43"/>
  <c r="L14" i="43"/>
  <c r="K16" i="43"/>
  <c r="O17" i="43" s="1"/>
  <c r="H8" i="43"/>
  <c r="H7" i="43"/>
  <c r="H6" i="43"/>
  <c r="H5" i="43"/>
  <c r="I15" i="43"/>
  <c r="J15" i="43" s="1"/>
  <c r="I14" i="43"/>
  <c r="M14" i="43"/>
  <c r="K14" i="43"/>
  <c r="J14" i="43"/>
  <c r="K4" i="43"/>
  <c r="J4" i="43"/>
  <c r="I4" i="43"/>
  <c r="F30" i="43"/>
  <c r="F29" i="43"/>
  <c r="F26" i="43"/>
  <c r="F25" i="43"/>
  <c r="F21" i="43"/>
  <c r="F20" i="43"/>
  <c r="F17" i="43"/>
  <c r="L16" i="43" s="1"/>
  <c r="O18" i="43" s="1"/>
  <c r="F16" i="43"/>
  <c r="F14" i="43"/>
  <c r="F11" i="43"/>
  <c r="F10" i="43"/>
  <c r="F7" i="43"/>
  <c r="F6" i="43"/>
  <c r="E30" i="43"/>
  <c r="E29" i="43"/>
  <c r="L25" i="43" s="1"/>
  <c r="M27" i="43" s="1"/>
  <c r="E26" i="43"/>
  <c r="E25" i="43"/>
  <c r="E21" i="43"/>
  <c r="E20" i="43"/>
  <c r="N16" i="43" s="1"/>
  <c r="O20" i="43" s="1"/>
  <c r="E17" i="43"/>
  <c r="E16" i="43"/>
  <c r="E14" i="43"/>
  <c r="E11" i="43"/>
  <c r="E10" i="43"/>
  <c r="L6" i="43" s="1"/>
  <c r="M8" i="43" s="1"/>
  <c r="E7" i="43"/>
  <c r="E6" i="43"/>
  <c r="J6" i="43" s="1"/>
  <c r="D8" i="43"/>
  <c r="E8" i="43" s="1"/>
  <c r="D27" i="43"/>
  <c r="F27" i="43" s="1"/>
  <c r="D18" i="43"/>
  <c r="F18" i="43" s="1"/>
  <c r="F19" i="45" l="1"/>
  <c r="F20" i="45"/>
  <c r="F17" i="45"/>
  <c r="F80" i="45" s="1"/>
  <c r="F81" i="45" s="1"/>
  <c r="L42" i="45"/>
  <c r="F23" i="45"/>
  <c r="E16" i="45"/>
  <c r="E23" i="45"/>
  <c r="E19" i="45"/>
  <c r="E45" i="45" s="1"/>
  <c r="E77" i="45"/>
  <c r="E78" i="45" s="1"/>
  <c r="E20" i="45" s="1"/>
  <c r="F61" i="45"/>
  <c r="F68" i="45"/>
  <c r="F6" i="45"/>
  <c r="O15" i="43"/>
  <c r="M6" i="43"/>
  <c r="E18" i="43"/>
  <c r="F8" i="43"/>
  <c r="E27" i="43"/>
  <c r="F16" i="45" l="1"/>
  <c r="E21" i="45"/>
  <c r="F21" i="45" l="1"/>
  <c r="F25" i="45" l="1"/>
  <c r="F26" i="45" s="1"/>
  <c r="F28" i="45" s="1"/>
  <c r="D28" i="43" l="1"/>
  <c r="D9" i="43"/>
  <c r="D5" i="43" s="1"/>
  <c r="D19" i="43"/>
  <c r="D15" i="43" l="1"/>
  <c r="E19" i="43"/>
  <c r="M16" i="43" s="1"/>
  <c r="O19" i="43" s="1"/>
  <c r="F19" i="43"/>
  <c r="E9" i="43"/>
  <c r="K6" i="43" s="1"/>
  <c r="F9" i="43"/>
  <c r="M7" i="43" s="1"/>
  <c r="D24" i="43"/>
  <c r="E28" i="43"/>
  <c r="K25" i="43" s="1"/>
  <c r="M26" i="43" s="1"/>
  <c r="F28" i="43"/>
  <c r="B25" i="42"/>
  <c r="N17" i="42"/>
  <c r="P14" i="42"/>
  <c r="R14" i="42" s="1"/>
  <c r="P13" i="42"/>
  <c r="R13" i="42" s="1"/>
  <c r="R12" i="42" s="1"/>
  <c r="P4" i="42"/>
  <c r="R4" i="42" s="1"/>
  <c r="T17" i="42" s="1"/>
  <c r="J20" i="42"/>
  <c r="J25" i="42" s="1"/>
  <c r="J11" i="42"/>
  <c r="L11" i="42" s="1"/>
  <c r="J6" i="42"/>
  <c r="L6" i="42" s="1"/>
  <c r="J5" i="42"/>
  <c r="L5" i="42" s="1"/>
  <c r="J4" i="42"/>
  <c r="G21" i="42"/>
  <c r="E3" i="42"/>
  <c r="J3" i="42" s="1"/>
  <c r="L3" i="42" s="1"/>
  <c r="P3" i="42" s="1"/>
  <c r="R3" i="42" s="1"/>
  <c r="E6" i="13"/>
  <c r="E25" i="42"/>
  <c r="E14" i="42"/>
  <c r="J14" i="42" s="1"/>
  <c r="L14" i="42" s="1"/>
  <c r="E13" i="42"/>
  <c r="J13" i="42" s="1"/>
  <c r="L13" i="42" s="1"/>
  <c r="E5" i="43" l="1"/>
  <c r="I5" i="43" s="1"/>
  <c r="J5" i="43" s="1"/>
  <c r="F5" i="43"/>
  <c r="E24" i="43"/>
  <c r="I24" i="43" s="1"/>
  <c r="F24" i="43"/>
  <c r="E15" i="43"/>
  <c r="J16" i="43" s="1"/>
  <c r="F15" i="43"/>
  <c r="P12" i="42"/>
  <c r="P19" i="42"/>
  <c r="P20" i="42"/>
  <c r="P25" i="42" s="1"/>
  <c r="P18" i="42"/>
  <c r="J12" i="42"/>
  <c r="L12" i="42" s="1"/>
  <c r="E12" i="42"/>
  <c r="E8" i="23"/>
  <c r="T57" i="39"/>
  <c r="T50" i="39"/>
  <c r="T44" i="39"/>
  <c r="P50" i="39"/>
  <c r="P44" i="39"/>
  <c r="L50" i="39"/>
  <c r="L44" i="39"/>
  <c r="I44" i="39"/>
  <c r="I50" i="39"/>
  <c r="F57" i="39"/>
  <c r="C57" i="39"/>
  <c r="D50" i="39"/>
  <c r="D44" i="39"/>
  <c r="E10" i="32"/>
  <c r="E24" i="23" s="1"/>
  <c r="K21" i="39"/>
  <c r="Q39" i="39" s="1"/>
  <c r="Q40" i="39" s="1"/>
  <c r="K19" i="39"/>
  <c r="J21" i="39"/>
  <c r="I39" i="39" s="1"/>
  <c r="I40" i="39" s="1"/>
  <c r="J19" i="39"/>
  <c r="K17" i="39"/>
  <c r="P57" i="39" s="1"/>
  <c r="J17" i="39"/>
  <c r="I57" i="39" s="1"/>
  <c r="G21" i="39"/>
  <c r="U39" i="39" s="1"/>
  <c r="U40" i="39" s="1"/>
  <c r="G19" i="39"/>
  <c r="E21" i="39"/>
  <c r="M39" i="39" s="1"/>
  <c r="M40" i="39" s="1"/>
  <c r="E19" i="39"/>
  <c r="K14" i="37"/>
  <c r="K14" i="18"/>
  <c r="K9" i="39"/>
  <c r="P64" i="39" s="1"/>
  <c r="K8" i="39"/>
  <c r="P63" i="39" s="1"/>
  <c r="K7" i="39"/>
  <c r="P62" i="39" s="1"/>
  <c r="K6" i="39"/>
  <c r="P61" i="39" s="1"/>
  <c r="G7" i="39"/>
  <c r="T62" i="39" s="1"/>
  <c r="F7" i="39"/>
  <c r="E7" i="39"/>
  <c r="L62" i="39" s="1"/>
  <c r="G6" i="39"/>
  <c r="G10" i="39" s="1"/>
  <c r="F6" i="39"/>
  <c r="F10" i="39" s="1"/>
  <c r="E6" i="39"/>
  <c r="E10" i="39" s="1"/>
  <c r="G17" i="39"/>
  <c r="F17" i="39"/>
  <c r="X57" i="39" s="1"/>
  <c r="E17" i="39"/>
  <c r="L57" i="39" s="1"/>
  <c r="D17" i="39"/>
  <c r="C17" i="39"/>
  <c r="C19" i="39"/>
  <c r="J9" i="39"/>
  <c r="I64" i="39" s="1"/>
  <c r="J8" i="39"/>
  <c r="I63" i="39" s="1"/>
  <c r="D9" i="39"/>
  <c r="F64" i="39" s="1"/>
  <c r="D8" i="39"/>
  <c r="F63" i="39" s="1"/>
  <c r="J7" i="39"/>
  <c r="I62" i="39" s="1"/>
  <c r="J6" i="39"/>
  <c r="J10" i="39" s="1"/>
  <c r="J18" i="39" s="1"/>
  <c r="D7" i="39"/>
  <c r="F62" i="39" s="1"/>
  <c r="D6" i="39"/>
  <c r="D10" i="39" s="1"/>
  <c r="F58" i="39" s="1"/>
  <c r="F56" i="39" s="1"/>
  <c r="C7" i="39"/>
  <c r="C62" i="39" s="1"/>
  <c r="C6" i="39"/>
  <c r="C10" i="39" s="1"/>
  <c r="C18" i="39" s="1"/>
  <c r="J24" i="43" l="1"/>
  <c r="K24" i="43" s="1"/>
  <c r="L24" i="43" s="1"/>
  <c r="M24" i="43"/>
  <c r="J20" i="39"/>
  <c r="J22" i="39" s="1"/>
  <c r="I32" i="39" s="1"/>
  <c r="O16" i="43"/>
  <c r="K15" i="43"/>
  <c r="L15" i="43" s="1"/>
  <c r="M15" i="43" s="1"/>
  <c r="N15" i="43" s="1"/>
  <c r="K5" i="43"/>
  <c r="L5" i="43" s="1"/>
  <c r="M5" i="43"/>
  <c r="R19" i="42"/>
  <c r="R24" i="42" s="1"/>
  <c r="P24" i="42"/>
  <c r="P21" i="42"/>
  <c r="R18" i="42"/>
  <c r="H39" i="39"/>
  <c r="H40" i="39" s="1"/>
  <c r="I43" i="39"/>
  <c r="I45" i="39" s="1"/>
  <c r="I61" i="39"/>
  <c r="I51" i="39"/>
  <c r="I56" i="39" s="1"/>
  <c r="I58" i="39" s="1"/>
  <c r="F61" i="39"/>
  <c r="C61" i="39"/>
  <c r="C58" i="39"/>
  <c r="C56" i="39" s="1"/>
  <c r="G18" i="39"/>
  <c r="G20" i="39" s="1"/>
  <c r="K10" i="39"/>
  <c r="K18" i="39" s="1"/>
  <c r="K20" i="39" s="1"/>
  <c r="E18" i="39"/>
  <c r="E20" i="39" s="1"/>
  <c r="F18" i="39"/>
  <c r="X56" i="39" s="1"/>
  <c r="X58" i="39" s="1"/>
  <c r="X61" i="39" s="1"/>
  <c r="D18" i="39"/>
  <c r="C20" i="39" s="1"/>
  <c r="K22" i="39" l="1"/>
  <c r="P43" i="39"/>
  <c r="P45" i="39" s="1"/>
  <c r="P49" i="39" s="1"/>
  <c r="P51" i="39" s="1"/>
  <c r="P56" i="39" s="1"/>
  <c r="P58" i="39" s="1"/>
  <c r="G22" i="39"/>
  <c r="T39" i="39" s="1"/>
  <c r="T40" i="39" s="1"/>
  <c r="T43" i="39"/>
  <c r="T45" i="39" s="1"/>
  <c r="T49" i="39" s="1"/>
  <c r="T51" i="39" s="1"/>
  <c r="T56" i="39" s="1"/>
  <c r="T58" i="39" s="1"/>
  <c r="T61" i="39" s="1"/>
  <c r="I49" i="39"/>
  <c r="E22" i="39"/>
  <c r="L39" i="39" s="1"/>
  <c r="L40" i="39" s="1"/>
  <c r="L43" i="39"/>
  <c r="L45" i="39" s="1"/>
  <c r="L49" i="39" s="1"/>
  <c r="L51" i="39" s="1"/>
  <c r="L56" i="39" s="1"/>
  <c r="L58" i="39" s="1"/>
  <c r="L61" i="39" s="1"/>
  <c r="D43" i="39"/>
  <c r="D45" i="39" s="1"/>
  <c r="D49" i="39" s="1"/>
  <c r="D51" i="39" s="1"/>
  <c r="P39" i="39" l="1"/>
  <c r="P40" i="39" s="1"/>
  <c r="L32" i="39"/>
  <c r="P7" i="38" l="1"/>
  <c r="P9" i="38" s="1"/>
  <c r="N7" i="38"/>
  <c r="K8" i="38"/>
  <c r="K7" i="38"/>
  <c r="J7" i="38"/>
  <c r="G8" i="38"/>
  <c r="G7" i="38"/>
  <c r="G9" i="38" s="1"/>
  <c r="F8" i="38"/>
  <c r="F7" i="38"/>
  <c r="E7" i="38"/>
  <c r="P12" i="38"/>
  <c r="N12" i="38"/>
  <c r="K12" i="38"/>
  <c r="J12" i="38"/>
  <c r="G12" i="38"/>
  <c r="F12" i="38"/>
  <c r="E12" i="38"/>
  <c r="N9" i="38"/>
  <c r="J8" i="38"/>
  <c r="E8" i="38"/>
  <c r="C4" i="38"/>
  <c r="G14" i="38" s="1"/>
  <c r="G13" i="38" s="1"/>
  <c r="P40" i="37"/>
  <c r="P42" i="37" s="1"/>
  <c r="N40" i="37"/>
  <c r="N42" i="37" s="1"/>
  <c r="N28" i="37"/>
  <c r="N33" i="37"/>
  <c r="N32" i="37"/>
  <c r="N31" i="37"/>
  <c r="P7" i="37"/>
  <c r="P9" i="37" s="1"/>
  <c r="N7" i="37"/>
  <c r="N9" i="37" s="1"/>
  <c r="K7" i="37"/>
  <c r="K8" i="37"/>
  <c r="J7" i="37"/>
  <c r="K21" i="37"/>
  <c r="L21" i="37" s="1"/>
  <c r="G21" i="37"/>
  <c r="F21" i="37"/>
  <c r="G8" i="37"/>
  <c r="G7" i="37"/>
  <c r="F8" i="37"/>
  <c r="F7" i="37"/>
  <c r="E8" i="37"/>
  <c r="E7" i="37"/>
  <c r="R28" i="37"/>
  <c r="H21" i="37"/>
  <c r="G14" i="37"/>
  <c r="F14" i="37"/>
  <c r="E14" i="37"/>
  <c r="J8" i="37"/>
  <c r="P12" i="36"/>
  <c r="N12" i="36"/>
  <c r="K12" i="36"/>
  <c r="J12" i="36"/>
  <c r="G12" i="36"/>
  <c r="F12" i="36"/>
  <c r="E12" i="36"/>
  <c r="C4" i="36"/>
  <c r="N28" i="36" s="1"/>
  <c r="R28" i="36" s="1"/>
  <c r="K8" i="36"/>
  <c r="J8" i="36"/>
  <c r="G8" i="36"/>
  <c r="F8" i="36"/>
  <c r="E8" i="36"/>
  <c r="P7" i="36"/>
  <c r="P9" i="36" s="1"/>
  <c r="N7" i="36"/>
  <c r="N9" i="36" s="1"/>
  <c r="K7" i="36"/>
  <c r="J7" i="36"/>
  <c r="L7" i="36" s="1"/>
  <c r="G7" i="36"/>
  <c r="F7" i="36"/>
  <c r="E7" i="36"/>
  <c r="L21" i="18"/>
  <c r="G7" i="18"/>
  <c r="R28" i="18"/>
  <c r="E19" i="6"/>
  <c r="N7" i="18"/>
  <c r="E11" i="22"/>
  <c r="E16" i="22" s="1"/>
  <c r="E20" i="6"/>
  <c r="E94" i="32"/>
  <c r="G6" i="17"/>
  <c r="F6" i="17"/>
  <c r="E6" i="17"/>
  <c r="R21" i="37" l="1"/>
  <c r="E9" i="38"/>
  <c r="G21" i="36"/>
  <c r="G14" i="36"/>
  <c r="G13" i="36" s="1"/>
  <c r="N31" i="36"/>
  <c r="E11" i="36"/>
  <c r="E13" i="37"/>
  <c r="H8" i="36"/>
  <c r="J40" i="38"/>
  <c r="K14" i="38"/>
  <c r="K13" i="38" s="1"/>
  <c r="F11" i="36"/>
  <c r="N11" i="36"/>
  <c r="N15" i="36" s="1"/>
  <c r="F11" i="39"/>
  <c r="X62" i="39" s="1"/>
  <c r="P40" i="36"/>
  <c r="K14" i="36"/>
  <c r="K13" i="36" s="1"/>
  <c r="L13" i="36" s="1"/>
  <c r="E14" i="36"/>
  <c r="E13" i="36" s="1"/>
  <c r="E32" i="36"/>
  <c r="K11" i="36"/>
  <c r="P11" i="36"/>
  <c r="G11" i="39"/>
  <c r="N40" i="36"/>
  <c r="G21" i="38"/>
  <c r="K33" i="38"/>
  <c r="P31" i="38"/>
  <c r="E40" i="38"/>
  <c r="K40" i="38"/>
  <c r="K21" i="38"/>
  <c r="L21" i="38" s="1"/>
  <c r="F31" i="38"/>
  <c r="N31" i="38"/>
  <c r="N40" i="38"/>
  <c r="F32" i="38"/>
  <c r="K31" i="38"/>
  <c r="N32" i="38"/>
  <c r="N34" i="38" s="1"/>
  <c r="P33" i="38"/>
  <c r="P40" i="38"/>
  <c r="L8" i="38"/>
  <c r="K11" i="38"/>
  <c r="F21" i="38"/>
  <c r="H21" i="38" s="1"/>
  <c r="F33" i="38"/>
  <c r="J31" i="38"/>
  <c r="K32" i="38"/>
  <c r="N33" i="38"/>
  <c r="N28" i="38"/>
  <c r="R28" i="38" s="1"/>
  <c r="N34" i="37"/>
  <c r="F13" i="37"/>
  <c r="J11" i="36"/>
  <c r="J15" i="36" s="1"/>
  <c r="G11" i="36"/>
  <c r="F31" i="36"/>
  <c r="P31" i="36"/>
  <c r="F33" i="36"/>
  <c r="K21" i="36"/>
  <c r="L21" i="36" s="1"/>
  <c r="E9" i="36"/>
  <c r="F14" i="36"/>
  <c r="F13" i="36" s="1"/>
  <c r="F15" i="36" s="1"/>
  <c r="F21" i="36"/>
  <c r="H21" i="36" s="1"/>
  <c r="E33" i="36"/>
  <c r="F40" i="36"/>
  <c r="K31" i="36"/>
  <c r="J40" i="36"/>
  <c r="N32" i="36"/>
  <c r="N33" i="36"/>
  <c r="L8" i="36"/>
  <c r="J31" i="36"/>
  <c r="P11" i="38"/>
  <c r="P15" i="38" s="1"/>
  <c r="P16" i="38" s="1"/>
  <c r="N11" i="38"/>
  <c r="N15" i="38" s="1"/>
  <c r="N16" i="38" s="1"/>
  <c r="J11" i="38"/>
  <c r="J15" i="38" s="1"/>
  <c r="H8" i="38"/>
  <c r="R8" i="38" s="1"/>
  <c r="F9" i="38"/>
  <c r="H7" i="38"/>
  <c r="E11" i="38"/>
  <c r="L7" i="38"/>
  <c r="K9" i="38"/>
  <c r="F11" i="38"/>
  <c r="E14" i="38"/>
  <c r="E13" i="38" s="1"/>
  <c r="J9" i="38"/>
  <c r="G11" i="38"/>
  <c r="G15" i="38" s="1"/>
  <c r="F14" i="38"/>
  <c r="F13" i="38" s="1"/>
  <c r="K13" i="37"/>
  <c r="L8" i="37"/>
  <c r="G13" i="37"/>
  <c r="G9" i="37"/>
  <c r="H7" i="37"/>
  <c r="L13" i="37"/>
  <c r="L7" i="37"/>
  <c r="E9" i="37"/>
  <c r="J9" i="37"/>
  <c r="F9" i="37"/>
  <c r="K9" i="37"/>
  <c r="H8" i="37"/>
  <c r="J9" i="36"/>
  <c r="H7" i="36"/>
  <c r="F9" i="36"/>
  <c r="K9" i="36"/>
  <c r="G9" i="36"/>
  <c r="F11" i="22"/>
  <c r="F12" i="22" s="1"/>
  <c r="F13" i="22" s="1"/>
  <c r="G8" i="18"/>
  <c r="G9" i="18" s="1"/>
  <c r="G11" i="22"/>
  <c r="P36" i="34"/>
  <c r="N36" i="34"/>
  <c r="N29" i="34"/>
  <c r="N28" i="34"/>
  <c r="N27" i="34"/>
  <c r="K27" i="34"/>
  <c r="J27" i="34"/>
  <c r="H21" i="34"/>
  <c r="R21" i="34" s="1"/>
  <c r="N15" i="34"/>
  <c r="G14" i="34"/>
  <c r="G13" i="34" s="1"/>
  <c r="F14" i="34"/>
  <c r="E14" i="34"/>
  <c r="G9" i="34"/>
  <c r="K8" i="34"/>
  <c r="J8" i="34"/>
  <c r="F8" i="34"/>
  <c r="F13" i="34" s="1"/>
  <c r="E8" i="34"/>
  <c r="H8" i="34" s="1"/>
  <c r="P7" i="34"/>
  <c r="P9" i="34" s="1"/>
  <c r="N7" i="34"/>
  <c r="N9" i="34" s="1"/>
  <c r="K7" i="34"/>
  <c r="J7" i="34"/>
  <c r="F7" i="34"/>
  <c r="E7" i="34"/>
  <c r="P40" i="18"/>
  <c r="N40" i="18"/>
  <c r="N33" i="18"/>
  <c r="N32" i="18"/>
  <c r="N31" i="18"/>
  <c r="K40" i="18"/>
  <c r="J40" i="18"/>
  <c r="K31" i="18"/>
  <c r="H21" i="18"/>
  <c r="R21" i="18" s="1"/>
  <c r="E19" i="29"/>
  <c r="G14" i="18"/>
  <c r="F14" i="18"/>
  <c r="E14" i="18"/>
  <c r="D27" i="22"/>
  <c r="P7" i="18"/>
  <c r="P9" i="18" s="1"/>
  <c r="N9" i="18"/>
  <c r="K7" i="18"/>
  <c r="K8" i="18"/>
  <c r="K13" i="18" s="1"/>
  <c r="L13" i="18" s="1"/>
  <c r="J8" i="18"/>
  <c r="E8" i="18"/>
  <c r="J7" i="18"/>
  <c r="E20" i="29"/>
  <c r="E10" i="31"/>
  <c r="F24" i="23" s="1"/>
  <c r="F41" i="23" s="1"/>
  <c r="F8" i="18"/>
  <c r="F7" i="18"/>
  <c r="E7" i="18"/>
  <c r="G15" i="22"/>
  <c r="I8" i="23"/>
  <c r="H7" i="23"/>
  <c r="H39" i="23" s="1"/>
  <c r="G7" i="23"/>
  <c r="G39" i="23" s="1"/>
  <c r="F7" i="23"/>
  <c r="F39" i="23" s="1"/>
  <c r="E7" i="23"/>
  <c r="E17" i="27"/>
  <c r="E10" i="10"/>
  <c r="E9" i="10" s="1"/>
  <c r="G34" i="17"/>
  <c r="F34" i="17"/>
  <c r="E34" i="17"/>
  <c r="D34" i="17"/>
  <c r="G13" i="17"/>
  <c r="F13" i="17"/>
  <c r="E13" i="17"/>
  <c r="E10" i="27"/>
  <c r="E9" i="27" s="1"/>
  <c r="E65" i="17"/>
  <c r="K40" i="37" s="1"/>
  <c r="E64" i="17"/>
  <c r="E63" i="17"/>
  <c r="K32" i="36" s="1"/>
  <c r="L32" i="36" s="1"/>
  <c r="E62" i="17"/>
  <c r="K31" i="37" s="1"/>
  <c r="D65" i="17"/>
  <c r="G40" i="36" s="1"/>
  <c r="D64" i="17"/>
  <c r="G33" i="37" s="1"/>
  <c r="D63" i="17"/>
  <c r="G32" i="36" s="1"/>
  <c r="D62" i="17"/>
  <c r="G31" i="38" s="1"/>
  <c r="D57" i="17"/>
  <c r="F40" i="18" s="1"/>
  <c r="D56" i="17"/>
  <c r="D55" i="17"/>
  <c r="D54" i="17"/>
  <c r="G49" i="17"/>
  <c r="E165" i="10" s="1"/>
  <c r="F49" i="17"/>
  <c r="E49" i="17"/>
  <c r="G48" i="17"/>
  <c r="F48" i="17"/>
  <c r="E48" i="17"/>
  <c r="G47" i="17"/>
  <c r="F47" i="17"/>
  <c r="E47" i="17"/>
  <c r="J32" i="36" s="1"/>
  <c r="G46" i="17"/>
  <c r="E166" i="10" s="1"/>
  <c r="F46" i="17"/>
  <c r="E46" i="17"/>
  <c r="D49" i="17"/>
  <c r="E36" i="34" s="1"/>
  <c r="D48" i="17"/>
  <c r="D47" i="17"/>
  <c r="E32" i="38" s="1"/>
  <c r="D46" i="17"/>
  <c r="F41" i="17"/>
  <c r="H41" i="17" s="1"/>
  <c r="F40" i="17"/>
  <c r="H40" i="17" s="1"/>
  <c r="F39" i="17"/>
  <c r="H39" i="17" s="1"/>
  <c r="F38" i="17"/>
  <c r="H38" i="17" s="1"/>
  <c r="H42" i="17" s="1"/>
  <c r="E17" i="24"/>
  <c r="E10" i="24"/>
  <c r="E9" i="24" s="1"/>
  <c r="E15" i="22"/>
  <c r="E37" i="32"/>
  <c r="D26" i="32"/>
  <c r="E28" i="23" s="1"/>
  <c r="D25" i="32"/>
  <c r="E32" i="23" s="1"/>
  <c r="D24" i="32"/>
  <c r="E30" i="23" s="1"/>
  <c r="E50" i="32"/>
  <c r="E49" i="32"/>
  <c r="E157" i="32"/>
  <c r="E105" i="32"/>
  <c r="E20" i="32"/>
  <c r="E225" i="32"/>
  <c r="E211" i="32"/>
  <c r="E209" i="32"/>
  <c r="E208" i="32"/>
  <c r="E201" i="32"/>
  <c r="E195" i="32"/>
  <c r="E184" i="32"/>
  <c r="E199" i="32" s="1"/>
  <c r="E183" i="32"/>
  <c r="E198" i="32" s="1"/>
  <c r="E149" i="32"/>
  <c r="E148" i="32"/>
  <c r="E147" i="32"/>
  <c r="E146" i="32"/>
  <c r="E145" i="32"/>
  <c r="E142" i="32"/>
  <c r="E141" i="32"/>
  <c r="E95" i="32"/>
  <c r="E92" i="32"/>
  <c r="E91" i="32"/>
  <c r="E90" i="32"/>
  <c r="E89" i="32"/>
  <c r="E88" i="32"/>
  <c r="E84" i="32"/>
  <c r="E83" i="32"/>
  <c r="E82" i="32"/>
  <c r="E81" i="32"/>
  <c r="E62" i="32"/>
  <c r="E87" i="32" s="1"/>
  <c r="E210" i="32"/>
  <c r="E2" i="32"/>
  <c r="E50" i="31"/>
  <c r="E49" i="31"/>
  <c r="D26" i="31"/>
  <c r="F28" i="23" s="1"/>
  <c r="D25" i="31"/>
  <c r="F32" i="23" s="1"/>
  <c r="D24" i="31"/>
  <c r="F30" i="23" s="1"/>
  <c r="E37" i="31"/>
  <c r="E157" i="31"/>
  <c r="E105" i="31"/>
  <c r="E20" i="31"/>
  <c r="G24" i="13"/>
  <c r="H54" i="14" s="1"/>
  <c r="H36" i="15" s="1"/>
  <c r="E36" i="28" s="1"/>
  <c r="F32" i="16" s="1"/>
  <c r="E39" i="22" s="1"/>
  <c r="H47" i="23" s="1"/>
  <c r="H50" i="18" s="1"/>
  <c r="H2" i="17"/>
  <c r="G24" i="17"/>
  <c r="F24" i="17"/>
  <c r="E24" i="17"/>
  <c r="D24" i="17"/>
  <c r="G22" i="17"/>
  <c r="F22" i="17"/>
  <c r="E22" i="17"/>
  <c r="G21" i="17"/>
  <c r="F21" i="17"/>
  <c r="E21" i="17"/>
  <c r="G20" i="17"/>
  <c r="F20" i="17"/>
  <c r="E20" i="17"/>
  <c r="G19" i="17"/>
  <c r="F19" i="17"/>
  <c r="E19" i="17"/>
  <c r="D22" i="17"/>
  <c r="D21" i="17"/>
  <c r="D20" i="17"/>
  <c r="D7" i="14"/>
  <c r="E5" i="32" s="1"/>
  <c r="E17" i="32" s="1"/>
  <c r="H11" i="17"/>
  <c r="H9" i="17"/>
  <c r="H8" i="17"/>
  <c r="H7" i="17"/>
  <c r="D6" i="17"/>
  <c r="D19" i="17" s="1"/>
  <c r="P32" i="18" l="1"/>
  <c r="P32" i="37"/>
  <c r="E208" i="24"/>
  <c r="E211" i="24" s="1"/>
  <c r="E31" i="37"/>
  <c r="P33" i="18"/>
  <c r="P33" i="37"/>
  <c r="P28" i="34"/>
  <c r="E209" i="27"/>
  <c r="J40" i="37"/>
  <c r="E33" i="18"/>
  <c r="E33" i="37"/>
  <c r="K29" i="34"/>
  <c r="K33" i="37"/>
  <c r="L11" i="38"/>
  <c r="K33" i="36"/>
  <c r="J32" i="38"/>
  <c r="J29" i="34"/>
  <c r="L29" i="34" s="1"/>
  <c r="J33" i="37"/>
  <c r="L33" i="37" s="1"/>
  <c r="E31" i="38"/>
  <c r="E34" i="38" s="1"/>
  <c r="E209" i="24"/>
  <c r="E40" i="37"/>
  <c r="K42" i="37"/>
  <c r="E40" i="18"/>
  <c r="F36" i="34"/>
  <c r="H9" i="36"/>
  <c r="G31" i="36"/>
  <c r="F40" i="38"/>
  <c r="H40" i="38" s="1"/>
  <c r="R40" i="38" s="1"/>
  <c r="G33" i="36"/>
  <c r="H62" i="17"/>
  <c r="H66" i="17" s="1"/>
  <c r="G31" i="37"/>
  <c r="G34" i="37" s="1"/>
  <c r="J33" i="36"/>
  <c r="J34" i="36" s="1"/>
  <c r="H65" i="17"/>
  <c r="G40" i="37"/>
  <c r="G42" i="37" s="1"/>
  <c r="E211" i="27"/>
  <c r="J31" i="37"/>
  <c r="H54" i="17"/>
  <c r="F31" i="37"/>
  <c r="G36" i="34"/>
  <c r="E31" i="36"/>
  <c r="E34" i="36" s="1"/>
  <c r="P32" i="38"/>
  <c r="P34" i="38" s="1"/>
  <c r="E40" i="36"/>
  <c r="H40" i="36" s="1"/>
  <c r="L40" i="38"/>
  <c r="H55" i="17"/>
  <c r="H58" i="17" s="1"/>
  <c r="F32" i="37"/>
  <c r="G40" i="18"/>
  <c r="H40" i="18" s="1"/>
  <c r="J36" i="34"/>
  <c r="H13" i="37"/>
  <c r="F32" i="36"/>
  <c r="F34" i="36" s="1"/>
  <c r="P33" i="36"/>
  <c r="E33" i="38"/>
  <c r="H63" i="17"/>
  <c r="G32" i="37"/>
  <c r="K28" i="34"/>
  <c r="K32" i="37"/>
  <c r="K34" i="37" s="1"/>
  <c r="K41" i="37" s="1"/>
  <c r="P27" i="34"/>
  <c r="P30" i="34" s="1"/>
  <c r="P31" i="37"/>
  <c r="P34" i="37" s="1"/>
  <c r="P41" i="37" s="1"/>
  <c r="H56" i="17"/>
  <c r="F33" i="37"/>
  <c r="K36" i="34"/>
  <c r="R8" i="36"/>
  <c r="K40" i="36"/>
  <c r="J33" i="38"/>
  <c r="G33" i="38"/>
  <c r="H33" i="38" s="1"/>
  <c r="P32" i="36"/>
  <c r="E232" i="24"/>
  <c r="E32" i="37"/>
  <c r="J28" i="34"/>
  <c r="L28" i="34" s="1"/>
  <c r="J32" i="37"/>
  <c r="L32" i="37" s="1"/>
  <c r="H57" i="17"/>
  <c r="F40" i="37"/>
  <c r="F42" i="37" s="1"/>
  <c r="J31" i="18"/>
  <c r="G40" i="38"/>
  <c r="G32" i="38"/>
  <c r="G34" i="38" s="1"/>
  <c r="G41" i="38" s="1"/>
  <c r="R21" i="36"/>
  <c r="F2" i="13"/>
  <c r="K2" i="39"/>
  <c r="W27" i="39" s="1"/>
  <c r="L11" i="36"/>
  <c r="L12" i="36" s="1"/>
  <c r="L8" i="34"/>
  <c r="R8" i="34" s="1"/>
  <c r="J12" i="34"/>
  <c r="J11" i="34" s="1"/>
  <c r="J15" i="34" s="1"/>
  <c r="N12" i="37"/>
  <c r="N11" i="37" s="1"/>
  <c r="N15" i="37" s="1"/>
  <c r="N16" i="37" s="1"/>
  <c r="F12" i="37"/>
  <c r="F11" i="37" s="1"/>
  <c r="F15" i="37" s="1"/>
  <c r="N12" i="18"/>
  <c r="N11" i="18" s="1"/>
  <c r="N15" i="18" s="1"/>
  <c r="K12" i="37"/>
  <c r="K11" i="37" s="1"/>
  <c r="K15" i="37" s="1"/>
  <c r="E12" i="37"/>
  <c r="E11" i="37" s="1"/>
  <c r="E15" i="37" s="1"/>
  <c r="E16" i="37" s="1"/>
  <c r="J12" i="37"/>
  <c r="J11" i="37" s="1"/>
  <c r="P12" i="37"/>
  <c r="P11" i="37" s="1"/>
  <c r="P15" i="37" s="1"/>
  <c r="G12" i="37"/>
  <c r="G11" i="37" s="1"/>
  <c r="G15" i="37" s="1"/>
  <c r="G16" i="37" s="1"/>
  <c r="H13" i="36"/>
  <c r="H14" i="36" s="1"/>
  <c r="H11" i="38"/>
  <c r="H12" i="38" s="1"/>
  <c r="N41" i="38"/>
  <c r="F34" i="38"/>
  <c r="F41" i="38" s="1"/>
  <c r="N41" i="37"/>
  <c r="G15" i="36"/>
  <c r="G16" i="36" s="1"/>
  <c r="J11" i="39" s="1"/>
  <c r="K34" i="36"/>
  <c r="P34" i="36"/>
  <c r="H31" i="36"/>
  <c r="E41" i="36"/>
  <c r="R21" i="38"/>
  <c r="L32" i="38"/>
  <c r="F15" i="38"/>
  <c r="H9" i="38"/>
  <c r="H9" i="37"/>
  <c r="L9" i="36"/>
  <c r="R9" i="36" s="1"/>
  <c r="L31" i="36"/>
  <c r="K15" i="36"/>
  <c r="K16" i="36" s="1"/>
  <c r="K11" i="39" s="1"/>
  <c r="N34" i="36"/>
  <c r="H33" i="36"/>
  <c r="R7" i="36"/>
  <c r="L40" i="36"/>
  <c r="F41" i="36"/>
  <c r="H32" i="36"/>
  <c r="H42" i="34"/>
  <c r="H50" i="36"/>
  <c r="H50" i="37" s="1"/>
  <c r="H50" i="38" s="1"/>
  <c r="L40" i="18"/>
  <c r="E13" i="18"/>
  <c r="N34" i="18"/>
  <c r="L12" i="38"/>
  <c r="K34" i="38"/>
  <c r="F16" i="38"/>
  <c r="G16" i="38"/>
  <c r="L9" i="38"/>
  <c r="R7" i="38"/>
  <c r="L33" i="38"/>
  <c r="J34" i="38"/>
  <c r="L31" i="38"/>
  <c r="H32" i="38"/>
  <c r="H13" i="38"/>
  <c r="H14" i="38" s="1"/>
  <c r="E15" i="38"/>
  <c r="K15" i="38"/>
  <c r="L15" i="38" s="1"/>
  <c r="L13" i="38"/>
  <c r="J16" i="38"/>
  <c r="H14" i="37"/>
  <c r="R13" i="37"/>
  <c r="R7" i="37"/>
  <c r="L9" i="37"/>
  <c r="R8" i="37"/>
  <c r="J16" i="36"/>
  <c r="F16" i="36"/>
  <c r="P15" i="36"/>
  <c r="N16" i="36"/>
  <c r="E15" i="36"/>
  <c r="H11" i="36"/>
  <c r="H12" i="36" s="1"/>
  <c r="H7" i="18"/>
  <c r="G13" i="18"/>
  <c r="N16" i="18"/>
  <c r="F13" i="18"/>
  <c r="P29" i="34"/>
  <c r="P31" i="18"/>
  <c r="E164" i="10"/>
  <c r="E234" i="27"/>
  <c r="K33" i="18"/>
  <c r="H64" i="17"/>
  <c r="J33" i="18"/>
  <c r="K32" i="18"/>
  <c r="E232" i="27"/>
  <c r="J32" i="18"/>
  <c r="P12" i="18"/>
  <c r="P11" i="18" s="1"/>
  <c r="P15" i="18" s="1"/>
  <c r="E12" i="34"/>
  <c r="E11" i="34" s="1"/>
  <c r="E15" i="34" s="1"/>
  <c r="K12" i="34"/>
  <c r="K11" i="34" s="1"/>
  <c r="E12" i="18"/>
  <c r="E11" i="18" s="1"/>
  <c r="G12" i="18"/>
  <c r="G11" i="18" s="1"/>
  <c r="G15" i="18" s="1"/>
  <c r="G16" i="18" s="1"/>
  <c r="K12" i="18"/>
  <c r="K11" i="18" s="1"/>
  <c r="F12" i="34"/>
  <c r="F11" i="34" s="1"/>
  <c r="F15" i="34" s="1"/>
  <c r="P12" i="34"/>
  <c r="P11" i="34" s="1"/>
  <c r="G12" i="34"/>
  <c r="G11" i="34" s="1"/>
  <c r="G15" i="34" s="1"/>
  <c r="G16" i="34" s="1"/>
  <c r="F12" i="18"/>
  <c r="F11" i="18" s="1"/>
  <c r="J12" i="18"/>
  <c r="J11" i="18" s="1"/>
  <c r="J15" i="18" s="1"/>
  <c r="G33" i="18"/>
  <c r="E29" i="34"/>
  <c r="H29" i="34" s="1"/>
  <c r="R29" i="34" s="1"/>
  <c r="F29" i="34"/>
  <c r="E234" i="24"/>
  <c r="G29" i="34"/>
  <c r="F33" i="18"/>
  <c r="E32" i="18"/>
  <c r="G32" i="18"/>
  <c r="E28" i="34"/>
  <c r="F32" i="18"/>
  <c r="F28" i="34"/>
  <c r="G28" i="34"/>
  <c r="G31" i="18"/>
  <c r="G27" i="34"/>
  <c r="G30" i="34" s="1"/>
  <c r="F31" i="18"/>
  <c r="E31" i="18"/>
  <c r="E27" i="34"/>
  <c r="F27" i="34"/>
  <c r="K30" i="34"/>
  <c r="F30" i="34"/>
  <c r="N30" i="34"/>
  <c r="N32" i="34" s="1"/>
  <c r="N38" i="34" s="1"/>
  <c r="H36" i="34"/>
  <c r="L31" i="18"/>
  <c r="F9" i="18"/>
  <c r="K9" i="18"/>
  <c r="E86" i="32"/>
  <c r="G94" i="32" s="1"/>
  <c r="H13" i="34"/>
  <c r="E9" i="34"/>
  <c r="J9" i="34"/>
  <c r="L27" i="34"/>
  <c r="L7" i="34"/>
  <c r="F9" i="34"/>
  <c r="K9" i="34"/>
  <c r="H7" i="34"/>
  <c r="H9" i="34" s="1"/>
  <c r="J9" i="18"/>
  <c r="H8" i="18"/>
  <c r="L7" i="18"/>
  <c r="L8" i="18"/>
  <c r="E9" i="18"/>
  <c r="I7" i="23"/>
  <c r="I24" i="23"/>
  <c r="E39" i="23"/>
  <c r="I39" i="23" s="1"/>
  <c r="E40" i="23"/>
  <c r="I40" i="23" s="1"/>
  <c r="E41" i="23"/>
  <c r="I41" i="23" s="1"/>
  <c r="F14" i="22"/>
  <c r="H20" i="17"/>
  <c r="H46" i="17"/>
  <c r="D13" i="17"/>
  <c r="H49" i="17"/>
  <c r="E208" i="27"/>
  <c r="H19" i="17"/>
  <c r="H47" i="17"/>
  <c r="H48" i="17"/>
  <c r="H6" i="17"/>
  <c r="H13" i="17" s="1"/>
  <c r="H21" i="17"/>
  <c r="H22" i="17"/>
  <c r="H24" i="17"/>
  <c r="E12" i="22"/>
  <c r="E13" i="22" s="1"/>
  <c r="E17" i="22"/>
  <c r="E14" i="22"/>
  <c r="G14" i="22"/>
  <c r="E129" i="32"/>
  <c r="E156" i="32"/>
  <c r="E255" i="32" s="1"/>
  <c r="E203" i="32"/>
  <c r="E96" i="32"/>
  <c r="H232" i="32"/>
  <c r="E97" i="32"/>
  <c r="H231" i="32"/>
  <c r="H232" i="31"/>
  <c r="H231" i="31"/>
  <c r="D7" i="16"/>
  <c r="G61" i="9"/>
  <c r="G60" i="9"/>
  <c r="G59" i="9"/>
  <c r="G58" i="9"/>
  <c r="E60" i="9"/>
  <c r="E58" i="9"/>
  <c r="E5" i="31"/>
  <c r="E17" i="31" s="1"/>
  <c r="E225" i="31"/>
  <c r="E211" i="31"/>
  <c r="E209" i="31"/>
  <c r="E208" i="31"/>
  <c r="E201" i="31"/>
  <c r="E195" i="31"/>
  <c r="E184" i="31"/>
  <c r="E199" i="31" s="1"/>
  <c r="E183" i="31"/>
  <c r="E198" i="31" s="1"/>
  <c r="E203" i="31"/>
  <c r="E149" i="31"/>
  <c r="E148" i="31"/>
  <c r="E147" i="31"/>
  <c r="E146" i="31"/>
  <c r="E145" i="31"/>
  <c r="E142" i="31"/>
  <c r="E141" i="31"/>
  <c r="E95" i="31"/>
  <c r="E94" i="31"/>
  <c r="E92" i="31"/>
  <c r="E91" i="31"/>
  <c r="E90" i="31"/>
  <c r="E89" i="31"/>
  <c r="E88" i="31"/>
  <c r="E84" i="31"/>
  <c r="E83" i="31"/>
  <c r="E82" i="31"/>
  <c r="E81" i="31"/>
  <c r="E62" i="31"/>
  <c r="E210" i="31"/>
  <c r="E2" i="31"/>
  <c r="E104" i="29"/>
  <c r="E91" i="29"/>
  <c r="E90" i="29"/>
  <c r="E89" i="29"/>
  <c r="E92" i="29" s="1"/>
  <c r="E81" i="29"/>
  <c r="E75" i="29"/>
  <c r="C75" i="29"/>
  <c r="E74" i="29"/>
  <c r="C74" i="29"/>
  <c r="E73" i="29"/>
  <c r="C73" i="29"/>
  <c r="E72" i="29"/>
  <c r="C72" i="29"/>
  <c r="C71" i="29"/>
  <c r="E70" i="29"/>
  <c r="C70" i="29"/>
  <c r="E69" i="29"/>
  <c r="C69" i="29"/>
  <c r="C68" i="29"/>
  <c r="E49" i="29"/>
  <c r="E71" i="29" s="1"/>
  <c r="E30" i="29"/>
  <c r="E94" i="29"/>
  <c r="E13" i="29"/>
  <c r="E73" i="6"/>
  <c r="J73" i="6" s="1"/>
  <c r="E72" i="6"/>
  <c r="J72" i="6" s="1"/>
  <c r="E49" i="6"/>
  <c r="E52" i="14"/>
  <c r="E30" i="6"/>
  <c r="J41" i="36" l="1"/>
  <c r="L34" i="36"/>
  <c r="H32" i="37"/>
  <c r="E19" i="42" s="1"/>
  <c r="R31" i="36"/>
  <c r="H27" i="34"/>
  <c r="R27" i="34" s="1"/>
  <c r="L33" i="36"/>
  <c r="R33" i="36" s="1"/>
  <c r="H31" i="37"/>
  <c r="E18" i="42" s="1"/>
  <c r="E34" i="37"/>
  <c r="H34" i="37" s="1"/>
  <c r="H41" i="37" s="1"/>
  <c r="R32" i="36"/>
  <c r="J42" i="37"/>
  <c r="L40" i="37"/>
  <c r="L42" i="37" s="1"/>
  <c r="H13" i="18"/>
  <c r="G34" i="36"/>
  <c r="P34" i="18"/>
  <c r="J30" i="34"/>
  <c r="L30" i="34" s="1"/>
  <c r="H31" i="38"/>
  <c r="R31" i="38" s="1"/>
  <c r="R40" i="36"/>
  <c r="F34" i="37"/>
  <c r="F41" i="37" s="1"/>
  <c r="R32" i="37"/>
  <c r="R31" i="37"/>
  <c r="E15" i="18"/>
  <c r="E16" i="18" s="1"/>
  <c r="E30" i="34"/>
  <c r="H30" i="34" s="1"/>
  <c r="E42" i="37"/>
  <c r="H40" i="37"/>
  <c r="L31" i="37"/>
  <c r="J34" i="37"/>
  <c r="L34" i="37" s="1"/>
  <c r="H33" i="37"/>
  <c r="R33" i="37" s="1"/>
  <c r="G41" i="37"/>
  <c r="L36" i="34"/>
  <c r="R36" i="34" s="1"/>
  <c r="E25" i="15"/>
  <c r="E27" i="15" s="1"/>
  <c r="H42" i="14"/>
  <c r="G42" i="14"/>
  <c r="F42" i="14"/>
  <c r="H25" i="15"/>
  <c r="R13" i="36"/>
  <c r="R14" i="36" s="1"/>
  <c r="H11" i="37"/>
  <c r="H12" i="37" s="1"/>
  <c r="D11" i="39"/>
  <c r="E11" i="39"/>
  <c r="F16" i="37"/>
  <c r="K16" i="37"/>
  <c r="H15" i="37"/>
  <c r="H16" i="37" s="1"/>
  <c r="J15" i="37"/>
  <c r="L11" i="37"/>
  <c r="L12" i="37" s="1"/>
  <c r="J41" i="38"/>
  <c r="K41" i="38"/>
  <c r="H34" i="38"/>
  <c r="R32" i="38"/>
  <c r="P41" i="38"/>
  <c r="R11" i="38"/>
  <c r="R12" i="38" s="1"/>
  <c r="K41" i="36"/>
  <c r="N41" i="36"/>
  <c r="P41" i="36"/>
  <c r="E34" i="18"/>
  <c r="P41" i="18"/>
  <c r="N41" i="18"/>
  <c r="R40" i="18"/>
  <c r="G231" i="32"/>
  <c r="L15" i="36"/>
  <c r="L16" i="36" s="1"/>
  <c r="R9" i="38"/>
  <c r="E41" i="38"/>
  <c r="R9" i="37"/>
  <c r="L41" i="37"/>
  <c r="L41" i="36"/>
  <c r="L34" i="38"/>
  <c r="R33" i="38"/>
  <c r="S33" i="38" s="1"/>
  <c r="R13" i="38"/>
  <c r="R14" i="38" s="1"/>
  <c r="L16" i="38"/>
  <c r="K16" i="38"/>
  <c r="H15" i="38"/>
  <c r="H16" i="38" s="1"/>
  <c r="E16" i="38"/>
  <c r="P16" i="37"/>
  <c r="R14" i="37"/>
  <c r="R11" i="36"/>
  <c r="R12" i="36" s="1"/>
  <c r="H15" i="36"/>
  <c r="H16" i="36" s="1"/>
  <c r="E16" i="36"/>
  <c r="P16" i="36"/>
  <c r="R7" i="18"/>
  <c r="L33" i="18"/>
  <c r="K15" i="18"/>
  <c r="K16" i="18" s="1"/>
  <c r="L11" i="18"/>
  <c r="L12" i="18" s="1"/>
  <c r="H9" i="18"/>
  <c r="K34" i="18"/>
  <c r="F34" i="18"/>
  <c r="H33" i="18"/>
  <c r="J16" i="18"/>
  <c r="H31" i="18"/>
  <c r="R31" i="18" s="1"/>
  <c r="G34" i="18"/>
  <c r="F15" i="18"/>
  <c r="F16" i="18" s="1"/>
  <c r="H11" i="18"/>
  <c r="H12" i="18" s="1"/>
  <c r="H11" i="34"/>
  <c r="F25" i="15"/>
  <c r="F27" i="15" s="1"/>
  <c r="E25" i="28"/>
  <c r="E27" i="28" s="1"/>
  <c r="G25" i="15"/>
  <c r="G27" i="15" s="1"/>
  <c r="J34" i="18"/>
  <c r="L32" i="18"/>
  <c r="K15" i="34"/>
  <c r="L15" i="34" s="1"/>
  <c r="L11" i="34"/>
  <c r="L12" i="34" s="1"/>
  <c r="H28" i="34"/>
  <c r="R28" i="34" s="1"/>
  <c r="H32" i="18"/>
  <c r="H14" i="18"/>
  <c r="R13" i="18"/>
  <c r="P16" i="18"/>
  <c r="R30" i="34"/>
  <c r="J16" i="34"/>
  <c r="H15" i="34"/>
  <c r="H16" i="34" s="1"/>
  <c r="E16" i="34"/>
  <c r="H14" i="34"/>
  <c r="R13" i="34"/>
  <c r="R14" i="34" s="1"/>
  <c r="P15" i="34"/>
  <c r="L9" i="34"/>
  <c r="R9" i="34" s="1"/>
  <c r="R7" i="34"/>
  <c r="F16" i="34"/>
  <c r="L9" i="18"/>
  <c r="R8" i="18"/>
  <c r="G232" i="32"/>
  <c r="H50" i="17"/>
  <c r="E212" i="32"/>
  <c r="E264" i="32"/>
  <c r="G264" i="32" s="1"/>
  <c r="E215" i="32"/>
  <c r="E213" i="32"/>
  <c r="E159" i="32"/>
  <c r="E190" i="32" s="1"/>
  <c r="E158" i="32"/>
  <c r="E160" i="32"/>
  <c r="E191" i="32" s="1"/>
  <c r="E245" i="32"/>
  <c r="G245" i="32" s="1"/>
  <c r="E258" i="32"/>
  <c r="E182" i="32"/>
  <c r="E197" i="32" s="1"/>
  <c r="E252" i="32" s="1"/>
  <c r="E144" i="32"/>
  <c r="E214" i="32"/>
  <c r="E6" i="6"/>
  <c r="E6" i="29"/>
  <c r="E86" i="31"/>
  <c r="E87" i="31"/>
  <c r="E129" i="31"/>
  <c r="E156" i="31"/>
  <c r="E96" i="31"/>
  <c r="E97" i="31"/>
  <c r="E21" i="29"/>
  <c r="E93" i="29"/>
  <c r="E96" i="29" s="1"/>
  <c r="E97" i="29" s="1"/>
  <c r="E42" i="14"/>
  <c r="E105" i="10"/>
  <c r="G6" i="9"/>
  <c r="G15" i="9"/>
  <c r="G21" i="9"/>
  <c r="G22" i="9" s="1"/>
  <c r="G33" i="9"/>
  <c r="G37" i="9"/>
  <c r="G49" i="9"/>
  <c r="G73" i="9" s="1"/>
  <c r="G53" i="9"/>
  <c r="G55" i="9"/>
  <c r="G56" i="9"/>
  <c r="G57" i="9"/>
  <c r="G71" i="9"/>
  <c r="G72" i="9"/>
  <c r="G86" i="9"/>
  <c r="E168" i="27"/>
  <c r="E184" i="27"/>
  <c r="E199" i="27" s="1"/>
  <c r="E183" i="27"/>
  <c r="E198" i="27" s="1"/>
  <c r="E157" i="27"/>
  <c r="E203" i="27" s="1"/>
  <c r="E184" i="24"/>
  <c r="E183" i="24"/>
  <c r="E157" i="24"/>
  <c r="H79" i="27"/>
  <c r="E94" i="27"/>
  <c r="E63" i="10"/>
  <c r="E51" i="10"/>
  <c r="E210" i="10" s="1"/>
  <c r="E50" i="10"/>
  <c r="E209" i="10" s="1"/>
  <c r="E39" i="10"/>
  <c r="E198" i="10" s="1"/>
  <c r="D28" i="10"/>
  <c r="H13" i="23" s="1"/>
  <c r="D27" i="10"/>
  <c r="H17" i="23" s="1"/>
  <c r="D26" i="10"/>
  <c r="H15" i="23" s="1"/>
  <c r="E5" i="10"/>
  <c r="E179" i="10" s="1"/>
  <c r="E5" i="27"/>
  <c r="E225" i="27" s="1"/>
  <c r="E5" i="24"/>
  <c r="E225" i="24" s="1"/>
  <c r="E34" i="10"/>
  <c r="E193" i="10" s="1"/>
  <c r="E21" i="10"/>
  <c r="E20" i="10"/>
  <c r="E37" i="27"/>
  <c r="E62" i="27"/>
  <c r="E129" i="27" s="1"/>
  <c r="E144" i="27" s="1"/>
  <c r="E62" i="24"/>
  <c r="E87" i="24" s="1"/>
  <c r="E50" i="27"/>
  <c r="E49" i="27"/>
  <c r="D26" i="27"/>
  <c r="F13" i="23" s="1"/>
  <c r="D25" i="27"/>
  <c r="F17" i="23" s="1"/>
  <c r="D24" i="27"/>
  <c r="F15" i="23" s="1"/>
  <c r="E105" i="27"/>
  <c r="E20" i="27"/>
  <c r="E201" i="27"/>
  <c r="E195" i="27"/>
  <c r="E149" i="27"/>
  <c r="E148" i="27"/>
  <c r="E147" i="27"/>
  <c r="E146" i="27"/>
  <c r="E145" i="27"/>
  <c r="E142" i="27"/>
  <c r="E141" i="27"/>
  <c r="E95" i="27"/>
  <c r="E92" i="27"/>
  <c r="E91" i="27"/>
  <c r="E90" i="27"/>
  <c r="E89" i="27"/>
  <c r="E88" i="27"/>
  <c r="E84" i="27"/>
  <c r="E83" i="27"/>
  <c r="G83" i="27" s="1"/>
  <c r="E82" i="27"/>
  <c r="E81" i="27"/>
  <c r="G81" i="27" s="1"/>
  <c r="E210" i="27"/>
  <c r="E37" i="24"/>
  <c r="E50" i="24"/>
  <c r="E49" i="24"/>
  <c r="D26" i="24"/>
  <c r="E13" i="23" s="1"/>
  <c r="C21" i="39" s="1"/>
  <c r="D39" i="39" s="1"/>
  <c r="D40" i="39" s="1"/>
  <c r="D25" i="24"/>
  <c r="E17" i="23" s="1"/>
  <c r="D24" i="24"/>
  <c r="E15" i="23" s="1"/>
  <c r="E105" i="24"/>
  <c r="E20" i="24"/>
  <c r="E83" i="24"/>
  <c r="R11" i="37" l="1"/>
  <c r="R12" i="37" s="1"/>
  <c r="R34" i="37"/>
  <c r="E24" i="42"/>
  <c r="J19" i="42"/>
  <c r="E134" i="10"/>
  <c r="E222" i="10"/>
  <c r="E246" i="10" s="1"/>
  <c r="G41" i="36"/>
  <c r="H34" i="36"/>
  <c r="R40" i="37"/>
  <c r="R42" i="37" s="1"/>
  <c r="H42" i="37"/>
  <c r="E41" i="37"/>
  <c r="J18" i="42"/>
  <c r="L18" i="42" s="1"/>
  <c r="E21" i="42"/>
  <c r="F21" i="42" s="1"/>
  <c r="H21" i="42" s="1"/>
  <c r="J41" i="37"/>
  <c r="G77" i="6"/>
  <c r="K16" i="34"/>
  <c r="J16" i="37"/>
  <c r="L15" i="37"/>
  <c r="H41" i="38"/>
  <c r="R41" i="37"/>
  <c r="C11" i="39"/>
  <c r="L15" i="18"/>
  <c r="L16" i="18" s="1"/>
  <c r="G41" i="18"/>
  <c r="F41" i="18"/>
  <c r="J41" i="18"/>
  <c r="K41" i="18"/>
  <c r="E41" i="18"/>
  <c r="R34" i="38"/>
  <c r="L41" i="38"/>
  <c r="R15" i="38"/>
  <c r="R15" i="36"/>
  <c r="R16" i="36" s="1"/>
  <c r="H34" i="18"/>
  <c r="R33" i="18"/>
  <c r="L34" i="18"/>
  <c r="R9" i="18"/>
  <c r="R32" i="18"/>
  <c r="H15" i="18"/>
  <c r="H16" i="18" s="1"/>
  <c r="R11" i="18"/>
  <c r="R12" i="18" s="1"/>
  <c r="R11" i="34"/>
  <c r="H12" i="34"/>
  <c r="G34" i="9"/>
  <c r="G63" i="9" s="1"/>
  <c r="R14" i="18"/>
  <c r="G77" i="29"/>
  <c r="G64" i="29"/>
  <c r="G20" i="23"/>
  <c r="F23" i="39" s="1"/>
  <c r="G35" i="23"/>
  <c r="K23" i="39" s="1"/>
  <c r="K24" i="39" s="1"/>
  <c r="L16" i="34"/>
  <c r="P16" i="34"/>
  <c r="R15" i="34"/>
  <c r="R16" i="34" s="1"/>
  <c r="E245" i="31"/>
  <c r="G245" i="31" s="1"/>
  <c r="E258" i="31"/>
  <c r="E264" i="31"/>
  <c r="G264" i="31" s="1"/>
  <c r="E255" i="31"/>
  <c r="G232" i="31"/>
  <c r="G231" i="31"/>
  <c r="E46" i="29"/>
  <c r="E45" i="6"/>
  <c r="E104" i="32"/>
  <c r="D104" i="32" s="1"/>
  <c r="E163" i="32"/>
  <c r="E193" i="32" s="1"/>
  <c r="E217" i="32"/>
  <c r="E41" i="29"/>
  <c r="E79" i="29" s="1"/>
  <c r="E45" i="29"/>
  <c r="E68" i="29" s="1"/>
  <c r="E77" i="29" s="1"/>
  <c r="E16" i="28" s="1"/>
  <c r="E29" i="28" s="1"/>
  <c r="E46" i="6"/>
  <c r="E97" i="27"/>
  <c r="E182" i="27"/>
  <c r="E197" i="27" s="1"/>
  <c r="F16" i="15" s="1"/>
  <c r="F29" i="15" s="1"/>
  <c r="E22" i="10"/>
  <c r="E140" i="10"/>
  <c r="E157" i="10" s="1"/>
  <c r="E138" i="10"/>
  <c r="G36" i="9"/>
  <c r="G54" i="9" s="1"/>
  <c r="H60" i="9" s="1"/>
  <c r="E158" i="31"/>
  <c r="E160" i="31"/>
  <c r="E191" i="31" s="1"/>
  <c r="E159" i="31"/>
  <c r="E190" i="31" s="1"/>
  <c r="E215" i="31"/>
  <c r="E214" i="31"/>
  <c r="E144" i="31"/>
  <c r="E182" i="31"/>
  <c r="E197" i="31" s="1"/>
  <c r="E252" i="31" s="1"/>
  <c r="E212" i="31"/>
  <c r="E213" i="31"/>
  <c r="G94" i="31"/>
  <c r="E26" i="29"/>
  <c r="E25" i="29"/>
  <c r="E24" i="29"/>
  <c r="E87" i="27"/>
  <c r="E86" i="27"/>
  <c r="E60" i="10"/>
  <c r="E219" i="10" s="1"/>
  <c r="E243" i="10" s="1"/>
  <c r="E66" i="10"/>
  <c r="E225" i="10" s="1"/>
  <c r="E249" i="10" s="1"/>
  <c r="E56" i="10"/>
  <c r="E215" i="10" s="1"/>
  <c r="E61" i="10"/>
  <c r="E220" i="10" s="1"/>
  <c r="E244" i="10" s="1"/>
  <c r="E67" i="10"/>
  <c r="E226" i="10" s="1"/>
  <c r="E250" i="10" s="1"/>
  <c r="E58" i="10"/>
  <c r="E217" i="10" s="1"/>
  <c r="E241" i="10" s="1"/>
  <c r="E64" i="10"/>
  <c r="E68" i="10"/>
  <c r="E227" i="10" s="1"/>
  <c r="E251" i="10" s="1"/>
  <c r="E59" i="10"/>
  <c r="E218" i="10" s="1"/>
  <c r="E242" i="10" s="1"/>
  <c r="E65" i="10"/>
  <c r="E129" i="24"/>
  <c r="E182" i="24" s="1"/>
  <c r="E86" i="24"/>
  <c r="E156" i="27"/>
  <c r="E228" i="27" s="1"/>
  <c r="E96" i="27"/>
  <c r="G19" i="14"/>
  <c r="F19" i="14"/>
  <c r="E19" i="14"/>
  <c r="E201" i="24"/>
  <c r="E199" i="24"/>
  <c r="E195" i="24"/>
  <c r="E203" i="24"/>
  <c r="E149" i="24"/>
  <c r="E148" i="24"/>
  <c r="E147" i="24"/>
  <c r="E146" i="24"/>
  <c r="E142" i="24"/>
  <c r="E141" i="24"/>
  <c r="E198" i="24"/>
  <c r="E197" i="24"/>
  <c r="E95" i="24"/>
  <c r="E94" i="24"/>
  <c r="E92" i="24"/>
  <c r="E91" i="24"/>
  <c r="E90" i="24"/>
  <c r="E89" i="24"/>
  <c r="E88" i="24"/>
  <c r="E84" i="24"/>
  <c r="E82" i="24"/>
  <c r="E81" i="24"/>
  <c r="E97" i="24"/>
  <c r="E96" i="24"/>
  <c r="E210" i="24"/>
  <c r="E2" i="24"/>
  <c r="E136" i="10" l="1"/>
  <c r="E224" i="10"/>
  <c r="E248" i="10" s="1"/>
  <c r="J21" i="42"/>
  <c r="J24" i="42"/>
  <c r="L19" i="42"/>
  <c r="L24" i="42" s="1"/>
  <c r="R16" i="38"/>
  <c r="S15" i="38"/>
  <c r="H41" i="36"/>
  <c r="R34" i="36"/>
  <c r="R41" i="36" s="1"/>
  <c r="E135" i="10"/>
  <c r="E223" i="10"/>
  <c r="E247" i="10" s="1"/>
  <c r="L31" i="39"/>
  <c r="F24" i="39"/>
  <c r="L30" i="39" s="1"/>
  <c r="E61" i="29"/>
  <c r="G64" i="9"/>
  <c r="L16" i="37"/>
  <c r="R15" i="37"/>
  <c r="R16" i="37" s="1"/>
  <c r="R41" i="38"/>
  <c r="H41" i="18"/>
  <c r="L41" i="18"/>
  <c r="R34" i="18"/>
  <c r="R15" i="18"/>
  <c r="R16" i="18" s="1"/>
  <c r="E251" i="32"/>
  <c r="G251" i="32" s="1"/>
  <c r="E239" i="32"/>
  <c r="G239" i="32" s="1"/>
  <c r="E218" i="32"/>
  <c r="E106" i="32"/>
  <c r="E242" i="32"/>
  <c r="G242" i="32" s="1"/>
  <c r="E244" i="32"/>
  <c r="G244" i="32" s="1"/>
  <c r="E254" i="32"/>
  <c r="G254" i="32" s="1"/>
  <c r="E257" i="32"/>
  <c r="G257" i="32" s="1"/>
  <c r="E260" i="32"/>
  <c r="G260" i="32" s="1"/>
  <c r="H59" i="9"/>
  <c r="H57" i="9"/>
  <c r="H53" i="9"/>
  <c r="G62" i="9"/>
  <c r="I62" i="9" s="1"/>
  <c r="J62" i="9" s="1"/>
  <c r="H61" i="9"/>
  <c r="H58" i="9"/>
  <c r="H56" i="9"/>
  <c r="H55" i="9"/>
  <c r="G94" i="27"/>
  <c r="E16" i="15"/>
  <c r="E29" i="15" s="1"/>
  <c r="E217" i="31"/>
  <c r="E163" i="31"/>
  <c r="E193" i="31" s="1"/>
  <c r="E239" i="31" s="1"/>
  <c r="G239" i="31" s="1"/>
  <c r="E104" i="31"/>
  <c r="D104" i="31" s="1"/>
  <c r="E63" i="29"/>
  <c r="E27" i="29"/>
  <c r="E64" i="29" s="1"/>
  <c r="F64" i="29" s="1"/>
  <c r="F73" i="29"/>
  <c r="F69" i="29"/>
  <c r="H77" i="29"/>
  <c r="F72" i="29"/>
  <c r="F75" i="29"/>
  <c r="F74" i="29"/>
  <c r="F71" i="29"/>
  <c r="F70" i="29"/>
  <c r="F68" i="29"/>
  <c r="G65" i="9"/>
  <c r="E160" i="27"/>
  <c r="E191" i="27" s="1"/>
  <c r="E159" i="27"/>
  <c r="E190" i="27" s="1"/>
  <c r="E158" i="27"/>
  <c r="E215" i="27"/>
  <c r="E214" i="27"/>
  <c r="E213" i="27"/>
  <c r="E212" i="27"/>
  <c r="G94" i="24"/>
  <c r="E144" i="24"/>
  <c r="E145" i="24"/>
  <c r="E156" i="24"/>
  <c r="F64" i="10"/>
  <c r="R41" i="18" l="1"/>
  <c r="I55" i="9"/>
  <c r="J55" i="9" s="1"/>
  <c r="I57" i="9"/>
  <c r="J57" i="9" s="1"/>
  <c r="E159" i="24"/>
  <c r="E190" i="24" s="1"/>
  <c r="E228" i="24"/>
  <c r="I61" i="9"/>
  <c r="J61" i="9" s="1"/>
  <c r="I56" i="9"/>
  <c r="J56" i="9" s="1"/>
  <c r="I60" i="9"/>
  <c r="J60" i="9" s="1"/>
  <c r="E19" i="32"/>
  <c r="E26" i="23" s="1"/>
  <c r="E109" i="32"/>
  <c r="E139" i="32" s="1"/>
  <c r="I58" i="9"/>
  <c r="J58" i="9" s="1"/>
  <c r="I59" i="9"/>
  <c r="J59" i="9" s="1"/>
  <c r="I53" i="9"/>
  <c r="J53" i="9" s="1"/>
  <c r="G2" i="14"/>
  <c r="H2" i="15" s="1"/>
  <c r="F2" i="16"/>
  <c r="G2" i="22" s="1"/>
  <c r="I2" i="23" s="1"/>
  <c r="E218" i="31"/>
  <c r="E106" i="31"/>
  <c r="E242" i="31"/>
  <c r="G242" i="31" s="1"/>
  <c r="E244" i="31"/>
  <c r="G244" i="31" s="1"/>
  <c r="E260" i="31"/>
  <c r="G260" i="31" s="1"/>
  <c r="E257" i="31"/>
  <c r="G257" i="31" s="1"/>
  <c r="E254" i="31"/>
  <c r="G254" i="31" s="1"/>
  <c r="E251" i="31"/>
  <c r="G251" i="31" s="1"/>
  <c r="G71" i="29"/>
  <c r="H71" i="29" s="1"/>
  <c r="G74" i="29"/>
  <c r="H74" i="29" s="1"/>
  <c r="G75" i="29"/>
  <c r="H75" i="29" s="1"/>
  <c r="G73" i="29"/>
  <c r="H73" i="29" s="1"/>
  <c r="G70" i="29"/>
  <c r="H70" i="29" s="1"/>
  <c r="G72" i="29"/>
  <c r="H72" i="29" s="1"/>
  <c r="E82" i="29"/>
  <c r="E15" i="28"/>
  <c r="G68" i="29"/>
  <c r="H68" i="29" s="1"/>
  <c r="G69" i="29"/>
  <c r="H69" i="29" s="1"/>
  <c r="E217" i="27"/>
  <c r="E163" i="27"/>
  <c r="E193" i="27" s="1"/>
  <c r="F15" i="15" s="1"/>
  <c r="F28" i="15" s="1"/>
  <c r="F30" i="15" s="1"/>
  <c r="F32" i="15" s="1"/>
  <c r="J19" i="34" s="1"/>
  <c r="J18" i="34" s="1"/>
  <c r="J23" i="34" s="1"/>
  <c r="E104" i="27"/>
  <c r="F10" i="23" s="1"/>
  <c r="F42" i="23" s="1"/>
  <c r="E160" i="24"/>
  <c r="E191" i="24" s="1"/>
  <c r="E158" i="24"/>
  <c r="E215" i="24"/>
  <c r="E213" i="24"/>
  <c r="E214" i="24"/>
  <c r="J32" i="34" l="1"/>
  <c r="J24" i="34"/>
  <c r="J25" i="34" s="1"/>
  <c r="E163" i="24"/>
  <c r="E193" i="24" s="1"/>
  <c r="E15" i="15" s="1"/>
  <c r="E28" i="15" s="1"/>
  <c r="E30" i="15" s="1"/>
  <c r="E32" i="15" s="1"/>
  <c r="E19" i="34" s="1"/>
  <c r="E18" i="34" s="1"/>
  <c r="E23" i="34" s="1"/>
  <c r="E104" i="24"/>
  <c r="E238" i="32"/>
  <c r="G238" i="32" s="1"/>
  <c r="E21" i="32"/>
  <c r="E27" i="23" s="1"/>
  <c r="E250" i="32"/>
  <c r="G250" i="32" s="1"/>
  <c r="E241" i="32"/>
  <c r="E243" i="32"/>
  <c r="G243" i="32" s="1"/>
  <c r="E246" i="32"/>
  <c r="G246" i="32" s="1"/>
  <c r="E247" i="32"/>
  <c r="G247" i="32" s="1"/>
  <c r="E249" i="32"/>
  <c r="G249" i="32" s="1"/>
  <c r="E253" i="32"/>
  <c r="G253" i="32" s="1"/>
  <c r="E256" i="32"/>
  <c r="G256" i="32" s="1"/>
  <c r="E259" i="32"/>
  <c r="G259" i="32" s="1"/>
  <c r="E261" i="32"/>
  <c r="G261" i="32" s="1"/>
  <c r="E262" i="32"/>
  <c r="G262" i="32" s="1"/>
  <c r="E265" i="32"/>
  <c r="G265" i="32" s="1"/>
  <c r="E266" i="32"/>
  <c r="G266" i="32" s="1"/>
  <c r="H94" i="32"/>
  <c r="G149" i="32" s="1"/>
  <c r="H149" i="32" s="1"/>
  <c r="E2" i="28"/>
  <c r="E109" i="31"/>
  <c r="E139" i="31" s="1"/>
  <c r="E19" i="31"/>
  <c r="F26" i="23" s="1"/>
  <c r="I26" i="23" s="1"/>
  <c r="E28" i="28"/>
  <c r="E30" i="28" s="1"/>
  <c r="E32" i="28" s="1"/>
  <c r="F19" i="34" s="1"/>
  <c r="F18" i="34" s="1"/>
  <c r="F23" i="34" s="1"/>
  <c r="D104" i="27"/>
  <c r="G114" i="27"/>
  <c r="E106" i="27"/>
  <c r="F11" i="23" s="1"/>
  <c r="E256" i="27"/>
  <c r="G256" i="27" s="1"/>
  <c r="G238" i="27"/>
  <c r="H239" i="27"/>
  <c r="I239" i="27" s="1"/>
  <c r="G239" i="27"/>
  <c r="E250" i="27"/>
  <c r="G250" i="27" s="1"/>
  <c r="E248" i="27"/>
  <c r="G248" i="27" s="1"/>
  <c r="E258" i="27"/>
  <c r="G258" i="27" s="1"/>
  <c r="E260" i="27"/>
  <c r="G260" i="27" s="1"/>
  <c r="E262" i="27"/>
  <c r="G262" i="27" s="1"/>
  <c r="H238" i="27"/>
  <c r="I238" i="27" s="1"/>
  <c r="E218" i="27"/>
  <c r="E10" i="23" l="1"/>
  <c r="G105" i="24"/>
  <c r="J38" i="34"/>
  <c r="J39" i="34" s="1"/>
  <c r="J40" i="34" s="1"/>
  <c r="J33" i="34"/>
  <c r="J34" i="34" s="1"/>
  <c r="F32" i="34"/>
  <c r="F24" i="34"/>
  <c r="F25" i="34" s="1"/>
  <c r="E24" i="34"/>
  <c r="E25" i="34" s="1"/>
  <c r="E32" i="34"/>
  <c r="E42" i="23"/>
  <c r="E30" i="32"/>
  <c r="E79" i="32" s="1"/>
  <c r="E28" i="32"/>
  <c r="E77" i="32" s="1"/>
  <c r="E235" i="32" s="1"/>
  <c r="E25" i="32"/>
  <c r="E27" i="32"/>
  <c r="E76" i="32" s="1"/>
  <c r="E234" i="32" s="1"/>
  <c r="E26" i="32"/>
  <c r="E29" i="23" s="1"/>
  <c r="E24" i="32"/>
  <c r="G241" i="32"/>
  <c r="J268" i="32"/>
  <c r="E21" i="31"/>
  <c r="F27" i="23" s="1"/>
  <c r="I27" i="23" s="1"/>
  <c r="E259" i="31"/>
  <c r="G259" i="31" s="1"/>
  <c r="E241" i="31"/>
  <c r="E243" i="31"/>
  <c r="G243" i="31" s="1"/>
  <c r="E266" i="31"/>
  <c r="G266" i="31" s="1"/>
  <c r="E249" i="31"/>
  <c r="G249" i="31" s="1"/>
  <c r="E253" i="31"/>
  <c r="G253" i="31" s="1"/>
  <c r="E256" i="31"/>
  <c r="G256" i="31" s="1"/>
  <c r="E247" i="31"/>
  <c r="G247" i="31" s="1"/>
  <c r="E262" i="31"/>
  <c r="G262" i="31" s="1"/>
  <c r="E265" i="31"/>
  <c r="G265" i="31" s="1"/>
  <c r="E246" i="31"/>
  <c r="G246" i="31" s="1"/>
  <c r="E261" i="31"/>
  <c r="G261" i="31" s="1"/>
  <c r="E250" i="31"/>
  <c r="G250" i="31" s="1"/>
  <c r="H94" i="31"/>
  <c r="G149" i="31" s="1"/>
  <c r="H149" i="31" s="1"/>
  <c r="E238" i="31"/>
  <c r="G238" i="31" s="1"/>
  <c r="G238" i="24"/>
  <c r="H239" i="24"/>
  <c r="I239" i="24" s="1"/>
  <c r="H238" i="24"/>
  <c r="I238" i="24" s="1"/>
  <c r="G239" i="24"/>
  <c r="E109" i="27"/>
  <c r="E139" i="27" s="1"/>
  <c r="E19" i="27"/>
  <c r="E106" i="24"/>
  <c r="E109" i="24" s="1"/>
  <c r="E258" i="24"/>
  <c r="G258" i="24" s="1"/>
  <c r="E256" i="24"/>
  <c r="G256" i="24" s="1"/>
  <c r="E262" i="24"/>
  <c r="G262" i="24" s="1"/>
  <c r="E250" i="24"/>
  <c r="G250" i="24" s="1"/>
  <c r="E260" i="24"/>
  <c r="G260" i="24" s="1"/>
  <c r="E248" i="24"/>
  <c r="G248" i="24" s="1"/>
  <c r="F38" i="34" l="1"/>
  <c r="F39" i="34" s="1"/>
  <c r="F40" i="34" s="1"/>
  <c r="F33" i="34"/>
  <c r="F34" i="34" s="1"/>
  <c r="E38" i="34"/>
  <c r="E39" i="34" s="1"/>
  <c r="E40" i="34" s="1"/>
  <c r="E33" i="34"/>
  <c r="E34" i="34" s="1"/>
  <c r="E74" i="32"/>
  <c r="E232" i="32" s="1"/>
  <c r="E33" i="23"/>
  <c r="E73" i="32"/>
  <c r="E231" i="32" s="1"/>
  <c r="E31" i="23"/>
  <c r="E237" i="32"/>
  <c r="G268" i="32"/>
  <c r="G241" i="31"/>
  <c r="G268" i="31" s="1"/>
  <c r="H245" i="31" s="1"/>
  <c r="J268" i="31"/>
  <c r="E30" i="31"/>
  <c r="E79" i="31" s="1"/>
  <c r="E28" i="31"/>
  <c r="E77" i="31" s="1"/>
  <c r="E235" i="31" s="1"/>
  <c r="E27" i="31"/>
  <c r="E76" i="31" s="1"/>
  <c r="E234" i="31" s="1"/>
  <c r="E24" i="31"/>
  <c r="E25" i="31"/>
  <c r="E26" i="31"/>
  <c r="F29" i="23" s="1"/>
  <c r="I29" i="23" s="1"/>
  <c r="G38" i="27"/>
  <c r="G37" i="27"/>
  <c r="E21" i="27"/>
  <c r="F12" i="23" s="1"/>
  <c r="E266" i="27"/>
  <c r="G266" i="27" s="1"/>
  <c r="E255" i="27"/>
  <c r="G255" i="27" s="1"/>
  <c r="E257" i="27"/>
  <c r="G257" i="27" s="1"/>
  <c r="E263" i="27"/>
  <c r="G263" i="27" s="1"/>
  <c r="E251" i="27"/>
  <c r="G251" i="27" s="1"/>
  <c r="E264" i="27"/>
  <c r="G264" i="27" s="1"/>
  <c r="E252" i="27"/>
  <c r="G252" i="27" s="1"/>
  <c r="E254" i="27"/>
  <c r="G254" i="27" s="1"/>
  <c r="E259" i="27"/>
  <c r="G259" i="27" s="1"/>
  <c r="E261" i="27"/>
  <c r="G261" i="27" s="1"/>
  <c r="E247" i="27"/>
  <c r="G247" i="27" s="1"/>
  <c r="E249" i="27"/>
  <c r="G249" i="27" s="1"/>
  <c r="E267" i="27"/>
  <c r="H94" i="27"/>
  <c r="G149" i="27" s="1"/>
  <c r="H149" i="27" s="1"/>
  <c r="E245" i="27"/>
  <c r="G245" i="27" s="1"/>
  <c r="E104" i="10"/>
  <c r="E183" i="10" s="1"/>
  <c r="E73" i="31" l="1"/>
  <c r="E231" i="31" s="1"/>
  <c r="F31" i="23"/>
  <c r="I31" i="23" s="1"/>
  <c r="G36" i="23"/>
  <c r="E74" i="31"/>
  <c r="E232" i="31" s="1"/>
  <c r="F33" i="23"/>
  <c r="I33" i="23" s="1"/>
  <c r="H264" i="32"/>
  <c r="H245" i="32"/>
  <c r="H251" i="32"/>
  <c r="H260" i="32"/>
  <c r="H242" i="32"/>
  <c r="H254" i="32"/>
  <c r="H244" i="32"/>
  <c r="H257" i="32"/>
  <c r="H246" i="32"/>
  <c r="H262" i="32"/>
  <c r="H243" i="32"/>
  <c r="H259" i="32"/>
  <c r="H265" i="32"/>
  <c r="H247" i="32"/>
  <c r="H253" i="32"/>
  <c r="H261" i="32"/>
  <c r="H256" i="32"/>
  <c r="J237" i="32"/>
  <c r="J269" i="32" s="1"/>
  <c r="E27" i="16" s="1"/>
  <c r="G237" i="32"/>
  <c r="H241" i="32"/>
  <c r="H256" i="31"/>
  <c r="H264" i="31"/>
  <c r="H259" i="31"/>
  <c r="H261" i="31"/>
  <c r="H254" i="31"/>
  <c r="H251" i="31"/>
  <c r="H257" i="31"/>
  <c r="H244" i="31"/>
  <c r="H242" i="31"/>
  <c r="H260" i="31"/>
  <c r="H241" i="31"/>
  <c r="H265" i="31"/>
  <c r="E237" i="31"/>
  <c r="H262" i="31"/>
  <c r="H243" i="31"/>
  <c r="H247" i="31"/>
  <c r="H253" i="31"/>
  <c r="H246" i="31"/>
  <c r="G115" i="27"/>
  <c r="G116" i="27" s="1"/>
  <c r="G269" i="27"/>
  <c r="H247" i="27" s="1"/>
  <c r="J269" i="27"/>
  <c r="E28" i="27"/>
  <c r="E77" i="27" s="1"/>
  <c r="E242" i="27" s="1"/>
  <c r="E27" i="27"/>
  <c r="E76" i="27" s="1"/>
  <c r="E241" i="27" s="1"/>
  <c r="E24" i="27"/>
  <c r="E26" i="27"/>
  <c r="E30" i="27"/>
  <c r="E79" i="27" s="1"/>
  <c r="G80" i="27" s="1"/>
  <c r="E25" i="27"/>
  <c r="E107" i="10"/>
  <c r="E108" i="10"/>
  <c r="E106" i="10"/>
  <c r="E21" i="9"/>
  <c r="E53" i="9"/>
  <c r="E15" i="9"/>
  <c r="E35" i="23" l="1"/>
  <c r="E20" i="23"/>
  <c r="C23" i="39" s="1"/>
  <c r="E73" i="27"/>
  <c r="E238" i="27" s="1"/>
  <c r="F16" i="23"/>
  <c r="E74" i="27"/>
  <c r="E239" i="27" s="1"/>
  <c r="F18" i="23"/>
  <c r="F14" i="23"/>
  <c r="G237" i="31"/>
  <c r="J237" i="31"/>
  <c r="J269" i="31" s="1"/>
  <c r="F27" i="16" s="1"/>
  <c r="E19" i="10"/>
  <c r="H10" i="23" s="1"/>
  <c r="E111" i="10"/>
  <c r="H257" i="27"/>
  <c r="H250" i="27"/>
  <c r="H262" i="27"/>
  <c r="H251" i="27"/>
  <c r="H249" i="27"/>
  <c r="H255" i="27"/>
  <c r="H264" i="27"/>
  <c r="H261" i="27"/>
  <c r="H254" i="27"/>
  <c r="H259" i="27"/>
  <c r="H266" i="27"/>
  <c r="H248" i="27"/>
  <c r="H258" i="27"/>
  <c r="H256" i="27"/>
  <c r="H252" i="27"/>
  <c r="H263" i="27"/>
  <c r="H260" i="27"/>
  <c r="E244" i="27"/>
  <c r="F16" i="13"/>
  <c r="F18" i="13" s="1"/>
  <c r="E16" i="13"/>
  <c r="E18" i="13" s="1"/>
  <c r="E37" i="9"/>
  <c r="E22" i="9"/>
  <c r="E33" i="9"/>
  <c r="E6" i="9"/>
  <c r="C31" i="39" l="1"/>
  <c r="F31" i="39"/>
  <c r="E36" i="23"/>
  <c r="I36" i="23" s="1"/>
  <c r="J23" i="39"/>
  <c r="F45" i="23"/>
  <c r="H42" i="23"/>
  <c r="H11" i="23"/>
  <c r="F43" i="23"/>
  <c r="E34" i="9"/>
  <c r="E63" i="9" s="1"/>
  <c r="E36" i="9"/>
  <c r="E54" i="9" s="1"/>
  <c r="J244" i="27"/>
  <c r="J270" i="27" s="1"/>
  <c r="G244" i="27"/>
  <c r="E21" i="6"/>
  <c r="E156" i="10"/>
  <c r="E155" i="10"/>
  <c r="E153" i="10"/>
  <c r="E149" i="10"/>
  <c r="E159" i="10"/>
  <c r="E152" i="10"/>
  <c r="E151" i="10"/>
  <c r="E95" i="10"/>
  <c r="E94" i="10"/>
  <c r="E92" i="10"/>
  <c r="E91" i="10"/>
  <c r="E90" i="10"/>
  <c r="E89" i="10"/>
  <c r="E88" i="10"/>
  <c r="E87" i="10"/>
  <c r="E85" i="10"/>
  <c r="E84" i="10"/>
  <c r="E83" i="10"/>
  <c r="E82" i="10"/>
  <c r="E97" i="10"/>
  <c r="E96" i="10"/>
  <c r="E17" i="10"/>
  <c r="E2" i="10"/>
  <c r="E86" i="9"/>
  <c r="E72" i="9"/>
  <c r="E71" i="9"/>
  <c r="E61" i="9"/>
  <c r="E59" i="9"/>
  <c r="E57" i="9"/>
  <c r="E56" i="9"/>
  <c r="E55" i="9"/>
  <c r="E49" i="9"/>
  <c r="E73" i="9" s="1"/>
  <c r="F19" i="13"/>
  <c r="F20" i="13" s="1"/>
  <c r="F22" i="13" s="1"/>
  <c r="E104" i="6"/>
  <c r="E91" i="6"/>
  <c r="E90" i="6"/>
  <c r="E89" i="6"/>
  <c r="E81" i="6"/>
  <c r="E75" i="6"/>
  <c r="J75" i="6" s="1"/>
  <c r="C75" i="6"/>
  <c r="E74" i="6"/>
  <c r="J74" i="6" s="1"/>
  <c r="C74" i="6"/>
  <c r="C73" i="6"/>
  <c r="C72" i="6"/>
  <c r="C71" i="6"/>
  <c r="E70" i="6"/>
  <c r="J70" i="6" s="1"/>
  <c r="C70" i="6"/>
  <c r="E69" i="6"/>
  <c r="J69" i="6" s="1"/>
  <c r="C69" i="6"/>
  <c r="E68" i="6"/>
  <c r="J68" i="6" s="1"/>
  <c r="C68" i="6"/>
  <c r="E71" i="6"/>
  <c r="J71" i="6" s="1"/>
  <c r="E41" i="6"/>
  <c r="E79" i="6" s="1"/>
  <c r="E13" i="6"/>
  <c r="I31" i="39" l="1"/>
  <c r="J24" i="39"/>
  <c r="I30" i="39" s="1"/>
  <c r="F8" i="16"/>
  <c r="G8" i="14"/>
  <c r="H52" i="45" s="1"/>
  <c r="F8" i="14"/>
  <c r="G10" i="23"/>
  <c r="G42" i="23" s="1"/>
  <c r="I42" i="23" s="1"/>
  <c r="E51" i="31"/>
  <c r="F27" i="14"/>
  <c r="E52" i="9"/>
  <c r="E68" i="9" s="1"/>
  <c r="E62" i="9"/>
  <c r="E26" i="6"/>
  <c r="E63" i="6" s="1"/>
  <c r="E24" i="6"/>
  <c r="E61" i="6" s="1"/>
  <c r="E25" i="6"/>
  <c r="H16" i="15"/>
  <c r="H29" i="15" s="1"/>
  <c r="E19" i="13"/>
  <c r="E64" i="9"/>
  <c r="E167" i="10"/>
  <c r="E92" i="6"/>
  <c r="E93" i="6"/>
  <c r="E77" i="6"/>
  <c r="H77" i="6" s="1"/>
  <c r="E94" i="6"/>
  <c r="H69" i="45" l="1"/>
  <c r="H70" i="45" s="1"/>
  <c r="H10" i="45"/>
  <c r="E20" i="13"/>
  <c r="E22" i="13" s="1"/>
  <c r="E7" i="42"/>
  <c r="I10" i="23"/>
  <c r="E96" i="6"/>
  <c r="E97" i="6" s="1"/>
  <c r="G233" i="31"/>
  <c r="H233" i="31"/>
  <c r="J233" i="31" s="1"/>
  <c r="E51" i="27"/>
  <c r="F24" i="14"/>
  <c r="F26" i="14"/>
  <c r="F28" i="14" s="1"/>
  <c r="F24" i="16"/>
  <c r="F26" i="16"/>
  <c r="E52" i="10"/>
  <c r="G26" i="14"/>
  <c r="G24" i="14"/>
  <c r="K33" i="14" s="1"/>
  <c r="F75" i="6"/>
  <c r="F71" i="6"/>
  <c r="F74" i="6"/>
  <c r="F70" i="6"/>
  <c r="F73" i="6"/>
  <c r="F69" i="6"/>
  <c r="F72" i="6"/>
  <c r="G16" i="15"/>
  <c r="F68" i="6"/>
  <c r="E27" i="6"/>
  <c r="E65" i="9"/>
  <c r="E168" i="10"/>
  <c r="E169" i="10"/>
  <c r="E144" i="10"/>
  <c r="E147" i="10"/>
  <c r="E146" i="10"/>
  <c r="H15" i="15" s="1"/>
  <c r="H28" i="15" s="1"/>
  <c r="E98" i="10" l="1"/>
  <c r="E211" i="10"/>
  <c r="E8" i="16"/>
  <c r="E51" i="32" s="1"/>
  <c r="H233" i="32" s="1"/>
  <c r="J233" i="32" s="1"/>
  <c r="E8" i="45"/>
  <c r="E8" i="14"/>
  <c r="E51" i="24" s="1"/>
  <c r="E8" i="42"/>
  <c r="E10" i="42" s="1"/>
  <c r="J10" i="42" s="1"/>
  <c r="L10" i="42" s="1"/>
  <c r="J7" i="42"/>
  <c r="F30" i="14"/>
  <c r="F12" i="15" s="1"/>
  <c r="F14" i="15" s="1"/>
  <c r="F17" i="15" s="1"/>
  <c r="F19" i="15" s="1"/>
  <c r="F34" i="15" s="1"/>
  <c r="E98" i="32"/>
  <c r="E99" i="32" s="1"/>
  <c r="F28" i="16"/>
  <c r="F30" i="16" s="1"/>
  <c r="E26" i="14"/>
  <c r="E24" i="14"/>
  <c r="E24" i="16"/>
  <c r="E26" i="16"/>
  <c r="E98" i="27"/>
  <c r="E99" i="27" s="1"/>
  <c r="G240" i="27"/>
  <c r="H240" i="27"/>
  <c r="I240" i="27" s="1"/>
  <c r="J240" i="27" s="1"/>
  <c r="E75" i="27"/>
  <c r="G29" i="15"/>
  <c r="G69" i="6"/>
  <c r="H69" i="6" s="1"/>
  <c r="G68" i="6"/>
  <c r="H68" i="6" s="1"/>
  <c r="G72" i="6"/>
  <c r="H72" i="6" s="1"/>
  <c r="G74" i="6"/>
  <c r="H74" i="6" s="1"/>
  <c r="G73" i="6"/>
  <c r="H73" i="6" s="1"/>
  <c r="G71" i="6"/>
  <c r="H71" i="6" s="1"/>
  <c r="G70" i="6"/>
  <c r="H70" i="6" s="1"/>
  <c r="G75" i="6"/>
  <c r="H75" i="6" s="1"/>
  <c r="E171" i="10"/>
  <c r="E172" i="10" s="1"/>
  <c r="E7" i="45" l="1"/>
  <c r="F7" i="45" s="1"/>
  <c r="F8" i="45" s="1"/>
  <c r="F52" i="45" s="1"/>
  <c r="E52" i="45"/>
  <c r="G233" i="32"/>
  <c r="E75" i="32"/>
  <c r="E100" i="32" s="1"/>
  <c r="E122" i="32" s="1"/>
  <c r="J8" i="42"/>
  <c r="L7" i="42"/>
  <c r="L8" i="42" s="1"/>
  <c r="G40" i="14"/>
  <c r="F40" i="14"/>
  <c r="E40" i="14"/>
  <c r="H40" i="14"/>
  <c r="E240" i="27"/>
  <c r="E269" i="27" s="1"/>
  <c r="E270" i="27" s="1"/>
  <c r="E272" i="27" s="1"/>
  <c r="E100" i="27"/>
  <c r="E122" i="27" s="1"/>
  <c r="E98" i="24"/>
  <c r="H240" i="24"/>
  <c r="I240" i="24" s="1"/>
  <c r="J240" i="24" s="1"/>
  <c r="G240" i="24"/>
  <c r="E98" i="31"/>
  <c r="E99" i="31" s="1"/>
  <c r="E75" i="31"/>
  <c r="E69" i="45" l="1"/>
  <c r="E70" i="45" s="1"/>
  <c r="E10" i="45"/>
  <c r="E233" i="32"/>
  <c r="E268" i="32" s="1"/>
  <c r="E269" i="32" s="1"/>
  <c r="E271" i="32" s="1"/>
  <c r="I251" i="32" s="1"/>
  <c r="J251" i="32" s="1"/>
  <c r="F69" i="45"/>
  <c r="F70" i="45" s="1"/>
  <c r="F10" i="45"/>
  <c r="E137" i="32"/>
  <c r="E152" i="32" s="1"/>
  <c r="E174" i="32" s="1"/>
  <c r="E150" i="32"/>
  <c r="E151" i="32" s="1"/>
  <c r="I265" i="32"/>
  <c r="J265" i="32" s="1"/>
  <c r="E233" i="31"/>
  <c r="E268" i="31" s="1"/>
  <c r="E100" i="31"/>
  <c r="E122" i="31" s="1"/>
  <c r="E137" i="27"/>
  <c r="E152" i="27" s="1"/>
  <c r="E174" i="27" s="1"/>
  <c r="E150" i="27"/>
  <c r="E151" i="27" s="1"/>
  <c r="I247" i="27"/>
  <c r="J247" i="27" s="1"/>
  <c r="I263" i="27"/>
  <c r="J263" i="27" s="1"/>
  <c r="I257" i="27"/>
  <c r="J257" i="27" s="1"/>
  <c r="I249" i="27"/>
  <c r="J249" i="27" s="1"/>
  <c r="I258" i="27"/>
  <c r="J258" i="27" s="1"/>
  <c r="I260" i="27"/>
  <c r="J260" i="27" s="1"/>
  <c r="I250" i="27"/>
  <c r="J250" i="27" s="1"/>
  <c r="I259" i="27"/>
  <c r="J259" i="27" s="1"/>
  <c r="I256" i="27"/>
  <c r="J256" i="27" s="1"/>
  <c r="I262" i="27"/>
  <c r="J262" i="27" s="1"/>
  <c r="I264" i="27"/>
  <c r="J264" i="27" s="1"/>
  <c r="I266" i="27"/>
  <c r="J266" i="27" s="1"/>
  <c r="I252" i="27"/>
  <c r="J252" i="27" s="1"/>
  <c r="I251" i="27"/>
  <c r="J251" i="27" s="1"/>
  <c r="I261" i="27"/>
  <c r="J261" i="27" s="1"/>
  <c r="I248" i="27"/>
  <c r="J248" i="27" s="1"/>
  <c r="I259" i="32" l="1"/>
  <c r="J259" i="32" s="1"/>
  <c r="I253" i="32"/>
  <c r="J253" i="32" s="1"/>
  <c r="I264" i="32"/>
  <c r="J264" i="32" s="1"/>
  <c r="I260" i="32"/>
  <c r="J260" i="32" s="1"/>
  <c r="I243" i="32"/>
  <c r="J243" i="32" s="1"/>
  <c r="I244" i="32"/>
  <c r="J244" i="32" s="1"/>
  <c r="I245" i="32"/>
  <c r="J245" i="32" s="1"/>
  <c r="I262" i="32"/>
  <c r="J262" i="32" s="1"/>
  <c r="I257" i="32"/>
  <c r="J257" i="32" s="1"/>
  <c r="I241" i="32"/>
  <c r="J241" i="32" s="1"/>
  <c r="I256" i="32"/>
  <c r="J256" i="32" s="1"/>
  <c r="I247" i="32"/>
  <c r="J247" i="32" s="1"/>
  <c r="I246" i="32"/>
  <c r="J246" i="32" s="1"/>
  <c r="I254" i="32"/>
  <c r="J254" i="32" s="1"/>
  <c r="I242" i="32"/>
  <c r="J242" i="32" s="1"/>
  <c r="I261" i="32"/>
  <c r="J261" i="32" s="1"/>
  <c r="E189" i="32"/>
  <c r="E205" i="32" s="1"/>
  <c r="E202" i="32"/>
  <c r="E204" i="32" s="1"/>
  <c r="E269" i="31"/>
  <c r="E202" i="27"/>
  <c r="E204" i="27" s="1"/>
  <c r="E189" i="27"/>
  <c r="E205" i="27" s="1"/>
  <c r="E150" i="31"/>
  <c r="E151" i="31" s="1"/>
  <c r="E137" i="31"/>
  <c r="E152" i="31" s="1"/>
  <c r="E174" i="31" s="1"/>
  <c r="E23" i="10"/>
  <c r="H12" i="23" s="1"/>
  <c r="J19" i="18" l="1"/>
  <c r="J48" i="18" s="1"/>
  <c r="J19" i="37"/>
  <c r="J48" i="37" s="1"/>
  <c r="J19" i="36"/>
  <c r="J48" i="36" s="1"/>
  <c r="J19" i="38"/>
  <c r="J48" i="38" s="1"/>
  <c r="G19" i="37"/>
  <c r="G48" i="37" s="1"/>
  <c r="G19" i="38"/>
  <c r="G48" i="38" s="1"/>
  <c r="G19" i="36"/>
  <c r="G48" i="36" s="1"/>
  <c r="E271" i="31"/>
  <c r="I245" i="31" s="1"/>
  <c r="J245" i="31" s="1"/>
  <c r="G19" i="34"/>
  <c r="G18" i="34" s="1"/>
  <c r="G19" i="18"/>
  <c r="G48" i="18" s="1"/>
  <c r="E206" i="32"/>
  <c r="E220" i="32"/>
  <c r="E189" i="31"/>
  <c r="E205" i="31" s="1"/>
  <c r="E202" i="31"/>
  <c r="E204" i="31" s="1"/>
  <c r="E206" i="27"/>
  <c r="E220" i="27"/>
  <c r="E229" i="27" s="1"/>
  <c r="H205" i="27"/>
  <c r="E26" i="10"/>
  <c r="E185" i="10" s="1"/>
  <c r="E233" i="10" s="1"/>
  <c r="E27" i="10"/>
  <c r="E186" i="10" s="1"/>
  <c r="E234" i="10" s="1"/>
  <c r="E32" i="10"/>
  <c r="E28" i="10"/>
  <c r="E187" i="10" s="1"/>
  <c r="E235" i="10" s="1"/>
  <c r="E30" i="10"/>
  <c r="E29" i="10"/>
  <c r="E80" i="10" l="1"/>
  <c r="E191" i="10"/>
  <c r="E239" i="10" s="1"/>
  <c r="E78" i="10"/>
  <c r="E189" i="10"/>
  <c r="E237" i="10" s="1"/>
  <c r="E77" i="10"/>
  <c r="E188" i="10"/>
  <c r="E236" i="10" s="1"/>
  <c r="I53" i="45"/>
  <c r="H53" i="45"/>
  <c r="J47" i="18"/>
  <c r="J18" i="18"/>
  <c r="J23" i="18" s="1"/>
  <c r="J24" i="18" s="1"/>
  <c r="J25" i="18" s="1"/>
  <c r="J18" i="38"/>
  <c r="J47" i="38"/>
  <c r="J18" i="36"/>
  <c r="E12" i="39"/>
  <c r="J47" i="36"/>
  <c r="K19" i="37"/>
  <c r="K48" i="37" s="1"/>
  <c r="K19" i="36"/>
  <c r="K48" i="36" s="1"/>
  <c r="K19" i="38"/>
  <c r="K48" i="38" s="1"/>
  <c r="J18" i="37"/>
  <c r="J47" i="37"/>
  <c r="G18" i="38"/>
  <c r="G23" i="38" s="1"/>
  <c r="G47" i="38"/>
  <c r="G18" i="37"/>
  <c r="G23" i="37" s="1"/>
  <c r="G47" i="37"/>
  <c r="G47" i="36"/>
  <c r="G18" i="18"/>
  <c r="G23" i="18" s="1"/>
  <c r="G36" i="18" s="1"/>
  <c r="G47" i="18"/>
  <c r="J12" i="39"/>
  <c r="G18" i="36"/>
  <c r="I251" i="31"/>
  <c r="J251" i="31" s="1"/>
  <c r="I246" i="31"/>
  <c r="J246" i="31" s="1"/>
  <c r="I244" i="31"/>
  <c r="J244" i="31" s="1"/>
  <c r="I241" i="31"/>
  <c r="J241" i="31" s="1"/>
  <c r="I243" i="31"/>
  <c r="J243" i="31" s="1"/>
  <c r="I261" i="31"/>
  <c r="J261" i="31" s="1"/>
  <c r="I242" i="31"/>
  <c r="J242" i="31" s="1"/>
  <c r="I256" i="31"/>
  <c r="J256" i="31" s="1"/>
  <c r="I262" i="31"/>
  <c r="J262" i="31" s="1"/>
  <c r="I260" i="31"/>
  <c r="J260" i="31" s="1"/>
  <c r="I257" i="31"/>
  <c r="J257" i="31" s="1"/>
  <c r="I265" i="31"/>
  <c r="J265" i="31" s="1"/>
  <c r="I253" i="31"/>
  <c r="J253" i="31" s="1"/>
  <c r="I259" i="31"/>
  <c r="J259" i="31" s="1"/>
  <c r="I254" i="31"/>
  <c r="J254" i="31" s="1"/>
  <c r="I247" i="31"/>
  <c r="J247" i="31" s="1"/>
  <c r="I264" i="31"/>
  <c r="J264" i="31" s="1"/>
  <c r="K19" i="34"/>
  <c r="K18" i="34" s="1"/>
  <c r="K19" i="18"/>
  <c r="K48" i="18" s="1"/>
  <c r="G23" i="34"/>
  <c r="H18" i="34"/>
  <c r="H19" i="34" s="1"/>
  <c r="J36" i="18"/>
  <c r="E76" i="10"/>
  <c r="H14" i="23"/>
  <c r="G16" i="9"/>
  <c r="E75" i="10"/>
  <c r="H18" i="23"/>
  <c r="E74" i="10"/>
  <c r="H16" i="23"/>
  <c r="E221" i="32"/>
  <c r="E223" i="32" s="1"/>
  <c r="E224" i="32"/>
  <c r="E226" i="32" s="1"/>
  <c r="E221" i="27"/>
  <c r="E224" i="27"/>
  <c r="E206" i="31"/>
  <c r="E220" i="31"/>
  <c r="E99" i="10"/>
  <c r="G27" i="14"/>
  <c r="P15" i="42" s="1"/>
  <c r="R15" i="42" l="1"/>
  <c r="R16" i="42" s="1"/>
  <c r="P16" i="42"/>
  <c r="P23" i="42" s="1"/>
  <c r="P26" i="42" s="1"/>
  <c r="P27" i="42" s="1"/>
  <c r="H11" i="45"/>
  <c r="H71" i="45"/>
  <c r="H72" i="45" s="1"/>
  <c r="H73" i="45" s="1"/>
  <c r="I71" i="45"/>
  <c r="I72" i="45" s="1"/>
  <c r="I73" i="45" s="1"/>
  <c r="I11" i="45"/>
  <c r="G24" i="18"/>
  <c r="G25" i="18" s="1"/>
  <c r="H45" i="23"/>
  <c r="J23" i="37"/>
  <c r="K18" i="37"/>
  <c r="K23" i="37" s="1"/>
  <c r="K47" i="37"/>
  <c r="J23" i="36"/>
  <c r="K18" i="38"/>
  <c r="K23" i="38" s="1"/>
  <c r="K47" i="38"/>
  <c r="K18" i="36"/>
  <c r="K23" i="36" s="1"/>
  <c r="K12" i="39"/>
  <c r="K47" i="36"/>
  <c r="J23" i="38"/>
  <c r="K18" i="18"/>
  <c r="K47" i="18"/>
  <c r="G24" i="37"/>
  <c r="G25" i="37" s="1"/>
  <c r="G36" i="37"/>
  <c r="G36" i="38"/>
  <c r="G24" i="38"/>
  <c r="G25" i="38" s="1"/>
  <c r="G23" i="36"/>
  <c r="E100" i="10"/>
  <c r="J37" i="18"/>
  <c r="J38" i="18" s="1"/>
  <c r="J43" i="18"/>
  <c r="G43" i="18"/>
  <c r="G44" i="18" s="1"/>
  <c r="G45" i="18" s="1"/>
  <c r="G37" i="18"/>
  <c r="G38" i="18" s="1"/>
  <c r="K23" i="18"/>
  <c r="L18" i="18"/>
  <c r="L19" i="18" s="1"/>
  <c r="L48" i="18" s="1"/>
  <c r="G24" i="34"/>
  <c r="G25" i="34" s="1"/>
  <c r="G32" i="34"/>
  <c r="H23" i="34"/>
  <c r="H24" i="34" s="1"/>
  <c r="H25" i="34" s="1"/>
  <c r="K23" i="34"/>
  <c r="L18" i="34"/>
  <c r="L19" i="34" s="1"/>
  <c r="G76" i="9"/>
  <c r="G75" i="9"/>
  <c r="G74" i="9"/>
  <c r="G17" i="9"/>
  <c r="G52" i="9" s="1"/>
  <c r="G68" i="9" s="1"/>
  <c r="G69" i="9" s="1"/>
  <c r="H43" i="23"/>
  <c r="G21" i="23"/>
  <c r="G44" i="23" s="1"/>
  <c r="E226" i="27"/>
  <c r="E233" i="27" s="1"/>
  <c r="E235" i="27" s="1"/>
  <c r="E223" i="27"/>
  <c r="E221" i="31"/>
  <c r="E223" i="31" s="1"/>
  <c r="E224" i="31"/>
  <c r="E226" i="31" s="1"/>
  <c r="R23" i="42" l="1"/>
  <c r="T16" i="42"/>
  <c r="T18" i="42" s="1"/>
  <c r="T19" i="42" s="1"/>
  <c r="T20" i="42" s="1"/>
  <c r="T21" i="42" s="1"/>
  <c r="T22" i="42" s="1"/>
  <c r="T23" i="42" s="1"/>
  <c r="R20" i="42" s="1"/>
  <c r="L18" i="37"/>
  <c r="L19" i="37" s="1"/>
  <c r="L48" i="37" s="1"/>
  <c r="L18" i="38"/>
  <c r="L19" i="38" s="1"/>
  <c r="L48" i="38" s="1"/>
  <c r="K36" i="36"/>
  <c r="K24" i="36"/>
  <c r="K25" i="36" s="1"/>
  <c r="L18" i="36"/>
  <c r="L19" i="36" s="1"/>
  <c r="L48" i="36" s="1"/>
  <c r="K36" i="37"/>
  <c r="K24" i="37"/>
  <c r="K25" i="37" s="1"/>
  <c r="J36" i="36"/>
  <c r="J24" i="36"/>
  <c r="J25" i="36" s="1"/>
  <c r="L23" i="36"/>
  <c r="L24" i="36" s="1"/>
  <c r="L25" i="36" s="1"/>
  <c r="J36" i="37"/>
  <c r="J24" i="37"/>
  <c r="J25" i="37" s="1"/>
  <c r="L23" i="37"/>
  <c r="L24" i="37" s="1"/>
  <c r="L25" i="37" s="1"/>
  <c r="J24" i="38"/>
  <c r="J25" i="38" s="1"/>
  <c r="J36" i="38"/>
  <c r="L23" i="38"/>
  <c r="L24" i="38" s="1"/>
  <c r="L25" i="38" s="1"/>
  <c r="K36" i="38"/>
  <c r="K24" i="38"/>
  <c r="K25" i="38" s="1"/>
  <c r="L47" i="18"/>
  <c r="G36" i="36"/>
  <c r="G24" i="36"/>
  <c r="G25" i="36" s="1"/>
  <c r="G37" i="38"/>
  <c r="G38" i="38" s="1"/>
  <c r="G43" i="38"/>
  <c r="G37" i="37"/>
  <c r="G38" i="37" s="1"/>
  <c r="G43" i="37"/>
  <c r="K24" i="34"/>
  <c r="K25" i="34" s="1"/>
  <c r="K32" i="34"/>
  <c r="L23" i="34"/>
  <c r="L24" i="34" s="1"/>
  <c r="L25" i="34" s="1"/>
  <c r="K24" i="18"/>
  <c r="K25" i="18" s="1"/>
  <c r="K36" i="18"/>
  <c r="L23" i="18"/>
  <c r="L24" i="18" s="1"/>
  <c r="L25" i="18" s="1"/>
  <c r="J44" i="18"/>
  <c r="J45" i="18" s="1"/>
  <c r="G38" i="34"/>
  <c r="G33" i="34"/>
  <c r="G34" i="34" s="1"/>
  <c r="H32" i="34"/>
  <c r="H33" i="34" s="1"/>
  <c r="H34" i="34" s="1"/>
  <c r="G78" i="9"/>
  <c r="G79" i="9" s="1"/>
  <c r="E230" i="27"/>
  <c r="L47" i="37" l="1"/>
  <c r="R25" i="42"/>
  <c r="R26" i="42" s="1"/>
  <c r="R27" i="42" s="1"/>
  <c r="R21" i="42"/>
  <c r="L47" i="38"/>
  <c r="J37" i="36"/>
  <c r="J38" i="36" s="1"/>
  <c r="L36" i="36"/>
  <c r="L37" i="36" s="1"/>
  <c r="L38" i="36" s="1"/>
  <c r="J43" i="36"/>
  <c r="L36" i="38"/>
  <c r="L37" i="38" s="1"/>
  <c r="L38" i="38" s="1"/>
  <c r="K43" i="38"/>
  <c r="K44" i="38" s="1"/>
  <c r="K45" i="38" s="1"/>
  <c r="K37" i="38"/>
  <c r="K38" i="38" s="1"/>
  <c r="J37" i="37"/>
  <c r="J38" i="37" s="1"/>
  <c r="L36" i="37"/>
  <c r="L37" i="37" s="1"/>
  <c r="L38" i="37" s="1"/>
  <c r="J43" i="37"/>
  <c r="K43" i="36"/>
  <c r="K44" i="36" s="1"/>
  <c r="K45" i="36" s="1"/>
  <c r="K37" i="36"/>
  <c r="K38" i="36" s="1"/>
  <c r="K43" i="37"/>
  <c r="K44" i="37" s="1"/>
  <c r="K45" i="37" s="1"/>
  <c r="K37" i="37"/>
  <c r="K38" i="37" s="1"/>
  <c r="J43" i="38"/>
  <c r="J37" i="38"/>
  <c r="J38" i="38" s="1"/>
  <c r="L47" i="36"/>
  <c r="G44" i="37"/>
  <c r="G45" i="37" s="1"/>
  <c r="G44" i="38"/>
  <c r="G45" i="38" s="1"/>
  <c r="G43" i="36"/>
  <c r="G37" i="36"/>
  <c r="G38" i="36" s="1"/>
  <c r="K33" i="34"/>
  <c r="K34" i="34" s="1"/>
  <c r="K38" i="34"/>
  <c r="L32" i="34"/>
  <c r="L33" i="34" s="1"/>
  <c r="L34" i="34" s="1"/>
  <c r="G39" i="34"/>
  <c r="G40" i="34" s="1"/>
  <c r="H38" i="34"/>
  <c r="H39" i="34" s="1"/>
  <c r="H40" i="34" s="1"/>
  <c r="K37" i="18"/>
  <c r="K38" i="18" s="1"/>
  <c r="K43" i="18"/>
  <c r="L36" i="18"/>
  <c r="L37" i="18" s="1"/>
  <c r="L38" i="18" s="1"/>
  <c r="G81" i="9"/>
  <c r="G85" i="9" s="1"/>
  <c r="G87" i="9" s="1"/>
  <c r="J44" i="37" l="1"/>
  <c r="J45" i="37" s="1"/>
  <c r="L43" i="37"/>
  <c r="L44" i="37" s="1"/>
  <c r="L45" i="37" s="1"/>
  <c r="J44" i="36"/>
  <c r="J45" i="36" s="1"/>
  <c r="L43" i="36"/>
  <c r="L44" i="36" s="1"/>
  <c r="L45" i="36" s="1"/>
  <c r="J44" i="38"/>
  <c r="J45" i="38" s="1"/>
  <c r="L43" i="38"/>
  <c r="L44" i="38" s="1"/>
  <c r="L45" i="38" s="1"/>
  <c r="G44" i="36"/>
  <c r="G45" i="36" s="1"/>
  <c r="G82" i="9"/>
  <c r="G84" i="9" s="1"/>
  <c r="K39" i="34"/>
  <c r="K40" i="34" s="1"/>
  <c r="L38" i="34"/>
  <c r="L39" i="34" s="1"/>
  <c r="L40" i="34" s="1"/>
  <c r="K44" i="18"/>
  <c r="K45" i="18" s="1"/>
  <c r="L43" i="18"/>
  <c r="L44" i="18" s="1"/>
  <c r="L45" i="18" s="1"/>
  <c r="E139" i="24" l="1"/>
  <c r="E245" i="24" s="1"/>
  <c r="G245" i="24" s="1"/>
  <c r="E19" i="24"/>
  <c r="E11" i="23" l="1"/>
  <c r="I11" i="23" s="1"/>
  <c r="H94" i="24"/>
  <c r="G149" i="24" s="1"/>
  <c r="H149" i="24" s="1"/>
  <c r="E267" i="24"/>
  <c r="E263" i="24"/>
  <c r="G263" i="24" s="1"/>
  <c r="E255" i="24"/>
  <c r="G255" i="24" s="1"/>
  <c r="E249" i="24"/>
  <c r="G249" i="24" s="1"/>
  <c r="E266" i="24"/>
  <c r="G266" i="24" s="1"/>
  <c r="E261" i="24"/>
  <c r="G261" i="24" s="1"/>
  <c r="E247" i="24"/>
  <c r="G247" i="24" s="1"/>
  <c r="E259" i="24"/>
  <c r="G259" i="24" s="1"/>
  <c r="E252" i="24"/>
  <c r="G252" i="24" s="1"/>
  <c r="E264" i="24"/>
  <c r="G264" i="24" s="1"/>
  <c r="E257" i="24"/>
  <c r="G257" i="24" s="1"/>
  <c r="E251" i="24"/>
  <c r="G251" i="24" s="1"/>
  <c r="E254" i="24"/>
  <c r="G254" i="24" s="1"/>
  <c r="E21" i="24"/>
  <c r="E28" i="24" l="1"/>
  <c r="E77" i="24" s="1"/>
  <c r="E242" i="24" s="1"/>
  <c r="E12" i="23"/>
  <c r="I12" i="23" s="1"/>
  <c r="G269" i="24"/>
  <c r="H266" i="24" s="1"/>
  <c r="J269" i="24"/>
  <c r="E24" i="24"/>
  <c r="E30" i="24"/>
  <c r="E79" i="24" s="1"/>
  <c r="E99" i="24" s="1"/>
  <c r="E26" i="24"/>
  <c r="E27" i="24"/>
  <c r="E76" i="24" s="1"/>
  <c r="E241" i="24" s="1"/>
  <c r="E25" i="24"/>
  <c r="F53" i="45" l="1"/>
  <c r="E53" i="45"/>
  <c r="E75" i="24"/>
  <c r="E16" i="9"/>
  <c r="E14" i="23"/>
  <c r="C22" i="39" s="1"/>
  <c r="E74" i="24"/>
  <c r="E239" i="24" s="1"/>
  <c r="E18" i="23"/>
  <c r="I18" i="23" s="1"/>
  <c r="E73" i="24"/>
  <c r="E16" i="23"/>
  <c r="H252" i="24"/>
  <c r="H259" i="24"/>
  <c r="H249" i="24"/>
  <c r="H258" i="24"/>
  <c r="H264" i="24"/>
  <c r="H257" i="24"/>
  <c r="H260" i="24"/>
  <c r="H256" i="24"/>
  <c r="H261" i="24"/>
  <c r="H247" i="24"/>
  <c r="H251" i="24"/>
  <c r="H250" i="24"/>
  <c r="H263" i="24"/>
  <c r="H262" i="24"/>
  <c r="H248" i="24"/>
  <c r="E244" i="24"/>
  <c r="E238" i="24" l="1"/>
  <c r="H73" i="24"/>
  <c r="G73" i="24"/>
  <c r="G19" i="24"/>
  <c r="E71" i="45"/>
  <c r="E72" i="45" s="1"/>
  <c r="E73" i="45" s="1"/>
  <c r="E11" i="45"/>
  <c r="F71" i="45"/>
  <c r="F72" i="45" s="1"/>
  <c r="F73" i="45" s="1"/>
  <c r="F11" i="45"/>
  <c r="E240" i="24"/>
  <c r="G75" i="24"/>
  <c r="C32" i="39"/>
  <c r="F32" i="39"/>
  <c r="C39" i="39"/>
  <c r="C40" i="39" s="1"/>
  <c r="I14" i="23"/>
  <c r="E21" i="23"/>
  <c r="C24" i="39" s="1"/>
  <c r="E43" i="23"/>
  <c r="I43" i="23" s="1"/>
  <c r="E45" i="23"/>
  <c r="I45" i="23" s="1"/>
  <c r="I16" i="23"/>
  <c r="E17" i="9"/>
  <c r="E74" i="9"/>
  <c r="E76" i="9"/>
  <c r="E75" i="9"/>
  <c r="E69" i="9"/>
  <c r="E100" i="24"/>
  <c r="E122" i="24" s="1"/>
  <c r="E150" i="24" s="1"/>
  <c r="E151" i="24" s="1"/>
  <c r="J244" i="24"/>
  <c r="J270" i="24" s="1"/>
  <c r="G244" i="24"/>
  <c r="E269" i="24"/>
  <c r="E270" i="24" s="1"/>
  <c r="E272" i="24" s="1"/>
  <c r="I266" i="24" s="1"/>
  <c r="J266" i="24" s="1"/>
  <c r="H21" i="24" l="1"/>
  <c r="I21" i="24"/>
  <c r="G21" i="24"/>
  <c r="F30" i="39"/>
  <c r="C30" i="39"/>
  <c r="I21" i="23"/>
  <c r="E44" i="23"/>
  <c r="I44" i="23" s="1"/>
  <c r="E78" i="9"/>
  <c r="E81" i="9" s="1"/>
  <c r="E137" i="24"/>
  <c r="E152" i="24" s="1"/>
  <c r="E174" i="24" s="1"/>
  <c r="E202" i="24" s="1"/>
  <c r="E204" i="24" s="1"/>
  <c r="E27" i="14"/>
  <c r="I263" i="24"/>
  <c r="J263" i="24" s="1"/>
  <c r="I249" i="24"/>
  <c r="J249" i="24" s="1"/>
  <c r="I258" i="24"/>
  <c r="J258" i="24" s="1"/>
  <c r="I252" i="24"/>
  <c r="J252" i="24" s="1"/>
  <c r="I257" i="24"/>
  <c r="J257" i="24" s="1"/>
  <c r="I260" i="24"/>
  <c r="J260" i="24" s="1"/>
  <c r="I259" i="24"/>
  <c r="J259" i="24" s="1"/>
  <c r="I256" i="24"/>
  <c r="J256" i="24" s="1"/>
  <c r="I264" i="24"/>
  <c r="J264" i="24" s="1"/>
  <c r="I247" i="24"/>
  <c r="J247" i="24" s="1"/>
  <c r="I251" i="24"/>
  <c r="J251" i="24" s="1"/>
  <c r="I250" i="24"/>
  <c r="J250" i="24" s="1"/>
  <c r="I261" i="24"/>
  <c r="J261" i="24" s="1"/>
  <c r="I262" i="24"/>
  <c r="J262" i="24" s="1"/>
  <c r="I248" i="24"/>
  <c r="J248" i="24" s="1"/>
  <c r="E28" i="14" l="1"/>
  <c r="E30" i="14" s="1"/>
  <c r="E15" i="42"/>
  <c r="E189" i="24"/>
  <c r="E205" i="24" s="1"/>
  <c r="E79" i="9"/>
  <c r="E82" i="9"/>
  <c r="E84" i="9" s="1"/>
  <c r="E85" i="9"/>
  <c r="E87" i="9" s="1"/>
  <c r="F39" i="14"/>
  <c r="H39" i="14"/>
  <c r="E39" i="14"/>
  <c r="E12" i="28"/>
  <c r="E14" i="28" s="1"/>
  <c r="E17" i="28" s="1"/>
  <c r="E19" i="28" s="1"/>
  <c r="E34" i="28" s="1"/>
  <c r="G28" i="14"/>
  <c r="J15" i="42" l="1"/>
  <c r="E16" i="42"/>
  <c r="E12" i="15"/>
  <c r="E14" i="15" s="1"/>
  <c r="E17" i="15" s="1"/>
  <c r="E19" i="15" s="1"/>
  <c r="G12" i="15"/>
  <c r="G30" i="14"/>
  <c r="G41" i="14" s="1"/>
  <c r="G44" i="14" s="1"/>
  <c r="K34" i="14"/>
  <c r="E19" i="37"/>
  <c r="E19" i="36"/>
  <c r="E48" i="36" s="1"/>
  <c r="E19" i="38"/>
  <c r="E48" i="38" s="1"/>
  <c r="E206" i="24"/>
  <c r="E19" i="18"/>
  <c r="E48" i="18" s="1"/>
  <c r="E42" i="29"/>
  <c r="E62" i="29" s="1"/>
  <c r="K54" i="45" l="1"/>
  <c r="G14" i="15"/>
  <c r="E42" i="6"/>
  <c r="E34" i="15"/>
  <c r="E14" i="45"/>
  <c r="F16" i="42"/>
  <c r="H16" i="42" s="1"/>
  <c r="E23" i="42"/>
  <c r="E26" i="42" s="1"/>
  <c r="E27" i="42" s="1"/>
  <c r="L15" i="42"/>
  <c r="L16" i="42" s="1"/>
  <c r="J16" i="42"/>
  <c r="J23" i="42" s="1"/>
  <c r="J26" i="42" s="1"/>
  <c r="J27" i="42" s="1"/>
  <c r="H41" i="14"/>
  <c r="H12" i="15"/>
  <c r="E41" i="14"/>
  <c r="E44" i="14" s="1"/>
  <c r="F41" i="14"/>
  <c r="F44" i="14" s="1"/>
  <c r="E18" i="38"/>
  <c r="E47" i="38"/>
  <c r="E18" i="36"/>
  <c r="C12" i="39"/>
  <c r="E47" i="36"/>
  <c r="E18" i="37"/>
  <c r="E48" i="37"/>
  <c r="E47" i="37"/>
  <c r="E18" i="18"/>
  <c r="E23" i="18" s="1"/>
  <c r="E47" i="18"/>
  <c r="E66" i="29"/>
  <c r="E86" i="29" s="1"/>
  <c r="F62" i="29"/>
  <c r="E80" i="29"/>
  <c r="E83" i="29" s="1"/>
  <c r="H44" i="14"/>
  <c r="H27" i="15" s="1"/>
  <c r="H30" i="15" s="1"/>
  <c r="H32" i="15" s="1"/>
  <c r="P19" i="34" s="1"/>
  <c r="P18" i="34" s="1"/>
  <c r="N16" i="42" l="1"/>
  <c r="N18" i="42" s="1"/>
  <c r="N19" i="42" s="1"/>
  <c r="N20" i="42" s="1"/>
  <c r="N21" i="42" s="1"/>
  <c r="N22" i="42" s="1"/>
  <c r="N23" i="42" s="1"/>
  <c r="L20" i="42" s="1"/>
  <c r="L23" i="42"/>
  <c r="E17" i="45"/>
  <c r="E25" i="45" s="1"/>
  <c r="E26" i="45" s="1"/>
  <c r="E28" i="45" s="1"/>
  <c r="E13" i="45"/>
  <c r="F13" i="45" s="1"/>
  <c r="F14" i="45" s="1"/>
  <c r="F83" i="45" s="1"/>
  <c r="F76" i="45" s="1"/>
  <c r="F77" i="45" s="1"/>
  <c r="F78" i="45" s="1"/>
  <c r="E44" i="6"/>
  <c r="E64" i="6" s="1"/>
  <c r="E80" i="6"/>
  <c r="E62" i="6"/>
  <c r="K73" i="45"/>
  <c r="K12" i="45"/>
  <c r="E125" i="10"/>
  <c r="H14" i="15"/>
  <c r="H17" i="15" s="1"/>
  <c r="H19" i="15" s="1"/>
  <c r="H14" i="45" s="1"/>
  <c r="H17" i="45" s="1"/>
  <c r="H80" i="45" s="1"/>
  <c r="E23" i="37"/>
  <c r="E23" i="36"/>
  <c r="F19" i="18"/>
  <c r="F19" i="37"/>
  <c r="F48" i="37" s="1"/>
  <c r="F19" i="36"/>
  <c r="F48" i="36" s="1"/>
  <c r="F19" i="38"/>
  <c r="F48" i="38" s="1"/>
  <c r="E23" i="38"/>
  <c r="F47" i="18"/>
  <c r="E99" i="29"/>
  <c r="E103" i="29" s="1"/>
  <c r="E105" i="29" s="1"/>
  <c r="E87" i="29"/>
  <c r="E24" i="18"/>
  <c r="E25" i="18" s="1"/>
  <c r="E36" i="18"/>
  <c r="R18" i="34"/>
  <c r="R19" i="34" s="1"/>
  <c r="P23" i="34"/>
  <c r="F86" i="29"/>
  <c r="E28" i="16"/>
  <c r="E30" i="16" s="1"/>
  <c r="E212" i="24"/>
  <c r="E217" i="24" s="1"/>
  <c r="E218" i="24" s="1"/>
  <c r="E66" i="6" l="1"/>
  <c r="E86" i="6" s="1"/>
  <c r="G64" i="6"/>
  <c r="E82" i="6"/>
  <c r="E83" i="6" s="1"/>
  <c r="G15" i="15"/>
  <c r="E100" i="29"/>
  <c r="E102" i="29" s="1"/>
  <c r="M20" i="42"/>
  <c r="L21" i="42"/>
  <c r="L25" i="42"/>
  <c r="L26" i="42" s="1"/>
  <c r="L27" i="42" s="1"/>
  <c r="H34" i="15"/>
  <c r="E158" i="10"/>
  <c r="E160" i="10" s="1"/>
  <c r="E143" i="10"/>
  <c r="E161" i="10" s="1"/>
  <c r="H13" i="45"/>
  <c r="I13" i="45" s="1"/>
  <c r="H81" i="45"/>
  <c r="H83" i="45" s="1"/>
  <c r="H76" i="45" s="1"/>
  <c r="H77" i="45" s="1"/>
  <c r="H78" i="45" s="1"/>
  <c r="H20" i="45" s="1"/>
  <c r="F18" i="18"/>
  <c r="F23" i="18" s="1"/>
  <c r="F36" i="18" s="1"/>
  <c r="F48" i="18"/>
  <c r="F18" i="38"/>
  <c r="F47" i="38"/>
  <c r="F18" i="36"/>
  <c r="F47" i="36"/>
  <c r="D12" i="39"/>
  <c r="E36" i="36"/>
  <c r="E24" i="36"/>
  <c r="E25" i="36" s="1"/>
  <c r="F18" i="37"/>
  <c r="F47" i="37"/>
  <c r="E36" i="38"/>
  <c r="E24" i="38"/>
  <c r="E25" i="38" s="1"/>
  <c r="E36" i="37"/>
  <c r="E24" i="37"/>
  <c r="E25" i="37" s="1"/>
  <c r="P24" i="34"/>
  <c r="P25" i="34" s="1"/>
  <c r="R23" i="34"/>
  <c r="R24" i="34" s="1"/>
  <c r="R25" i="34" s="1"/>
  <c r="P32" i="34"/>
  <c r="E43" i="18"/>
  <c r="E37" i="18"/>
  <c r="E38" i="18" s="1"/>
  <c r="E220" i="24"/>
  <c r="E229" i="24" s="1"/>
  <c r="G28" i="15" l="1"/>
  <c r="G30" i="15" s="1"/>
  <c r="G32" i="15" s="1"/>
  <c r="G17" i="15"/>
  <c r="G19" i="15" s="1"/>
  <c r="H18" i="18"/>
  <c r="H19" i="18" s="1"/>
  <c r="H48" i="18" s="1"/>
  <c r="G86" i="6"/>
  <c r="N19" i="37"/>
  <c r="N19" i="18"/>
  <c r="E87" i="6"/>
  <c r="N19" i="38"/>
  <c r="N19" i="36"/>
  <c r="E99" i="6"/>
  <c r="H21" i="45"/>
  <c r="E174" i="10"/>
  <c r="P19" i="37"/>
  <c r="H161" i="10"/>
  <c r="E162" i="10"/>
  <c r="P19" i="36"/>
  <c r="P19" i="18"/>
  <c r="P19" i="38"/>
  <c r="F24" i="18"/>
  <c r="F25" i="18" s="1"/>
  <c r="H23" i="18"/>
  <c r="H36" i="18"/>
  <c r="H37" i="18" s="1"/>
  <c r="H38" i="18" s="1"/>
  <c r="F43" i="18"/>
  <c r="F44" i="18" s="1"/>
  <c r="F45" i="18" s="1"/>
  <c r="F37" i="18"/>
  <c r="F38" i="18" s="1"/>
  <c r="H24" i="18"/>
  <c r="H25" i="18" s="1"/>
  <c r="E43" i="38"/>
  <c r="E37" i="38"/>
  <c r="E38" i="38" s="1"/>
  <c r="F23" i="37"/>
  <c r="H18" i="37"/>
  <c r="E37" i="37"/>
  <c r="E38" i="37" s="1"/>
  <c r="E43" i="37"/>
  <c r="F23" i="38"/>
  <c r="H18" i="38"/>
  <c r="E37" i="36"/>
  <c r="E38" i="36" s="1"/>
  <c r="E43" i="36"/>
  <c r="F23" i="36"/>
  <c r="H18" i="36"/>
  <c r="P38" i="34"/>
  <c r="R32" i="34"/>
  <c r="R33" i="34" s="1"/>
  <c r="R34" i="34" s="1"/>
  <c r="P33" i="34"/>
  <c r="P34" i="34" s="1"/>
  <c r="E44" i="18"/>
  <c r="E45" i="18" s="1"/>
  <c r="E224" i="24"/>
  <c r="E221" i="24"/>
  <c r="E100" i="6" l="1"/>
  <c r="E102" i="6" s="1"/>
  <c r="E103" i="6"/>
  <c r="E105" i="6" s="1"/>
  <c r="N48" i="38"/>
  <c r="N18" i="38"/>
  <c r="N23" i="38" s="1"/>
  <c r="N47" i="38"/>
  <c r="N48" i="18"/>
  <c r="N18" i="18"/>
  <c r="N23" i="18" s="1"/>
  <c r="N47" i="18"/>
  <c r="N48" i="37"/>
  <c r="N18" i="37"/>
  <c r="N23" i="37" s="1"/>
  <c r="N47" i="37"/>
  <c r="N48" i="36"/>
  <c r="N47" i="36"/>
  <c r="N18" i="36"/>
  <c r="N23" i="36" s="1"/>
  <c r="F12" i="39"/>
  <c r="K14" i="45"/>
  <c r="G34" i="15"/>
  <c r="H25" i="45"/>
  <c r="H26" i="45" s="1"/>
  <c r="H28" i="45" s="1"/>
  <c r="H43" i="18"/>
  <c r="H44" i="18" s="1"/>
  <c r="H45" i="18" s="1"/>
  <c r="P48" i="38"/>
  <c r="P18" i="38"/>
  <c r="P23" i="38" s="1"/>
  <c r="P47" i="38"/>
  <c r="P48" i="18"/>
  <c r="P18" i="18"/>
  <c r="P47" i="18"/>
  <c r="P48" i="37"/>
  <c r="P18" i="37"/>
  <c r="P23" i="37" s="1"/>
  <c r="P47" i="37"/>
  <c r="P48" i="36"/>
  <c r="P18" i="36"/>
  <c r="P23" i="36" s="1"/>
  <c r="P47" i="36"/>
  <c r="P49" i="36" s="1"/>
  <c r="P50" i="36" s="1"/>
  <c r="G12" i="39"/>
  <c r="E175" i="10"/>
  <c r="E177" i="10" s="1"/>
  <c r="E178" i="10"/>
  <c r="E180" i="10" s="1"/>
  <c r="H47" i="18"/>
  <c r="F24" i="38"/>
  <c r="F25" i="38" s="1"/>
  <c r="F36" i="38"/>
  <c r="H23" i="38"/>
  <c r="H19" i="37"/>
  <c r="H48" i="37" s="1"/>
  <c r="E44" i="38"/>
  <c r="E45" i="38" s="1"/>
  <c r="E44" i="36"/>
  <c r="E45" i="36" s="1"/>
  <c r="F24" i="37"/>
  <c r="F25" i="37" s="1"/>
  <c r="F36" i="37"/>
  <c r="H23" i="37"/>
  <c r="H19" i="36"/>
  <c r="H48" i="36" s="1"/>
  <c r="E44" i="37"/>
  <c r="E45" i="37" s="1"/>
  <c r="F36" i="36"/>
  <c r="F24" i="36"/>
  <c r="F25" i="36" s="1"/>
  <c r="H23" i="36"/>
  <c r="H19" i="38"/>
  <c r="H48" i="38" s="1"/>
  <c r="P39" i="34"/>
  <c r="P40" i="34" s="1"/>
  <c r="R38" i="34"/>
  <c r="R39" i="34" s="1"/>
  <c r="R40" i="34" s="1"/>
  <c r="E223" i="24"/>
  <c r="E226" i="24"/>
  <c r="N36" i="37" l="1"/>
  <c r="N24" i="37"/>
  <c r="N25" i="37" s="1"/>
  <c r="N36" i="18"/>
  <c r="N24" i="18"/>
  <c r="N25" i="18" s="1"/>
  <c r="R18" i="38"/>
  <c r="R19" i="38" s="1"/>
  <c r="R48" i="38" s="1"/>
  <c r="K17" i="45"/>
  <c r="K80" i="45" s="1"/>
  <c r="K81" i="45" s="1"/>
  <c r="K83" i="45" s="1"/>
  <c r="K76" i="45" s="1"/>
  <c r="K77" i="45" s="1"/>
  <c r="K78" i="45" s="1"/>
  <c r="K20" i="45" s="1"/>
  <c r="K21" i="45" s="1"/>
  <c r="K25" i="45" s="1"/>
  <c r="K26" i="45" s="1"/>
  <c r="K28" i="45" s="1"/>
  <c r="K13" i="45"/>
  <c r="L13" i="45" s="1"/>
  <c r="L14" i="45" s="1"/>
  <c r="L17" i="45" s="1"/>
  <c r="N24" i="38"/>
  <c r="N25" i="38" s="1"/>
  <c r="N36" i="38"/>
  <c r="N24" i="36"/>
  <c r="N25" i="36" s="1"/>
  <c r="N36" i="36"/>
  <c r="P36" i="37"/>
  <c r="P24" i="37"/>
  <c r="P25" i="37" s="1"/>
  <c r="P24" i="36"/>
  <c r="P25" i="36" s="1"/>
  <c r="P36" i="36"/>
  <c r="R18" i="37"/>
  <c r="R19" i="37" s="1"/>
  <c r="R48" i="37" s="1"/>
  <c r="R18" i="36"/>
  <c r="R19" i="36" s="1"/>
  <c r="R48" i="36" s="1"/>
  <c r="P23" i="18"/>
  <c r="R18" i="18"/>
  <c r="R19" i="18" s="1"/>
  <c r="P24" i="38"/>
  <c r="P25" i="38" s="1"/>
  <c r="P36" i="38"/>
  <c r="H24" i="37"/>
  <c r="H25" i="37" s="1"/>
  <c r="R23" i="37"/>
  <c r="R24" i="37" s="1"/>
  <c r="R25" i="37" s="1"/>
  <c r="H24" i="36"/>
  <c r="H25" i="36" s="1"/>
  <c r="R23" i="36"/>
  <c r="R24" i="36" s="1"/>
  <c r="R25" i="36" s="1"/>
  <c r="F37" i="37"/>
  <c r="F38" i="37" s="1"/>
  <c r="F43" i="37"/>
  <c r="H36" i="37"/>
  <c r="H24" i="38"/>
  <c r="H25" i="38" s="1"/>
  <c r="R23" i="38"/>
  <c r="R24" i="38" s="1"/>
  <c r="R25" i="38" s="1"/>
  <c r="H47" i="37"/>
  <c r="R47" i="36"/>
  <c r="F43" i="38"/>
  <c r="F37" i="38"/>
  <c r="F38" i="38" s="1"/>
  <c r="H36" i="38"/>
  <c r="H47" i="38"/>
  <c r="R47" i="38"/>
  <c r="F43" i="36"/>
  <c r="F37" i="36"/>
  <c r="F38" i="36" s="1"/>
  <c r="H36" i="36"/>
  <c r="H47" i="36"/>
  <c r="R47" i="37"/>
  <c r="E233" i="24"/>
  <c r="E235" i="24" s="1"/>
  <c r="E230" i="24"/>
  <c r="N37" i="38" l="1"/>
  <c r="N38" i="38" s="1"/>
  <c r="N43" i="38"/>
  <c r="N44" i="38" s="1"/>
  <c r="N45" i="38" s="1"/>
  <c r="N37" i="36"/>
  <c r="N38" i="36" s="1"/>
  <c r="N43" i="36"/>
  <c r="N44" i="36" s="1"/>
  <c r="N45" i="36" s="1"/>
  <c r="L80" i="45"/>
  <c r="L81" i="45" s="1"/>
  <c r="L83" i="45" s="1"/>
  <c r="L76" i="45" s="1"/>
  <c r="L77" i="45" s="1"/>
  <c r="L78" i="45" s="1"/>
  <c r="L26" i="45" s="1"/>
  <c r="L28" i="45" s="1"/>
  <c r="L25" i="45"/>
  <c r="N37" i="18"/>
  <c r="N38" i="18" s="1"/>
  <c r="N43" i="18"/>
  <c r="N44" i="18" s="1"/>
  <c r="N45" i="18" s="1"/>
  <c r="N43" i="37"/>
  <c r="N44" i="37" s="1"/>
  <c r="N45" i="37" s="1"/>
  <c r="N37" i="37"/>
  <c r="N38" i="37" s="1"/>
  <c r="P43" i="37"/>
  <c r="P44" i="37" s="1"/>
  <c r="P45" i="37" s="1"/>
  <c r="P37" i="37"/>
  <c r="P38" i="37" s="1"/>
  <c r="R48" i="18"/>
  <c r="R47" i="18"/>
  <c r="P43" i="36"/>
  <c r="P44" i="36" s="1"/>
  <c r="P45" i="36" s="1"/>
  <c r="P37" i="36"/>
  <c r="P38" i="36" s="1"/>
  <c r="P24" i="18"/>
  <c r="P25" i="18" s="1"/>
  <c r="P36" i="18"/>
  <c r="R23" i="18"/>
  <c r="R24" i="18" s="1"/>
  <c r="R25" i="18" s="1"/>
  <c r="P37" i="38"/>
  <c r="P38" i="38" s="1"/>
  <c r="P43" i="38"/>
  <c r="P44" i="38" s="1"/>
  <c r="P45" i="38" s="1"/>
  <c r="H37" i="38"/>
  <c r="H38" i="38" s="1"/>
  <c r="R36" i="38"/>
  <c r="R37" i="38" s="1"/>
  <c r="R38" i="38" s="1"/>
  <c r="H37" i="36"/>
  <c r="H38" i="36" s="1"/>
  <c r="R36" i="36"/>
  <c r="R37" i="36" s="1"/>
  <c r="R38" i="36" s="1"/>
  <c r="H37" i="37"/>
  <c r="H38" i="37" s="1"/>
  <c r="R36" i="37"/>
  <c r="R37" i="37" s="1"/>
  <c r="R38" i="37" s="1"/>
  <c r="F44" i="38"/>
  <c r="F45" i="38" s="1"/>
  <c r="H43" i="38"/>
  <c r="F44" i="37"/>
  <c r="F45" i="37" s="1"/>
  <c r="H43" i="37"/>
  <c r="F44" i="36"/>
  <c r="F45" i="36" s="1"/>
  <c r="H43" i="36"/>
  <c r="P37" i="18" l="1"/>
  <c r="P38" i="18" s="1"/>
  <c r="P43" i="18"/>
  <c r="R36" i="18"/>
  <c r="R37" i="18" s="1"/>
  <c r="R38" i="18" s="1"/>
  <c r="H44" i="36"/>
  <c r="H45" i="36" s="1"/>
  <c r="R43" i="36"/>
  <c r="R44" i="36" s="1"/>
  <c r="R45" i="36" s="1"/>
  <c r="H44" i="38"/>
  <c r="H45" i="38" s="1"/>
  <c r="R43" i="38"/>
  <c r="R44" i="38" s="1"/>
  <c r="R45" i="38" s="1"/>
  <c r="H44" i="37"/>
  <c r="H45" i="37" s="1"/>
  <c r="R43" i="37"/>
  <c r="R44" i="37" s="1"/>
  <c r="R45" i="37" s="1"/>
  <c r="P44" i="18" l="1"/>
  <c r="P45" i="18" s="1"/>
  <c r="R43" i="18"/>
  <c r="R44" i="18" s="1"/>
  <c r="R45" i="18" s="1"/>
  <c r="I14" i="45"/>
  <c r="I81" i="45" l="1"/>
  <c r="I83" i="45" s="1"/>
  <c r="I76" i="45" s="1"/>
  <c r="I77" i="45" s="1"/>
  <c r="I78" i="45" s="1"/>
  <c r="I20" i="45" s="1"/>
  <c r="I17" i="45"/>
  <c r="I80" i="45" s="1"/>
  <c r="I21" i="45" l="1"/>
  <c r="I25" i="45" l="1"/>
  <c r="I26" i="45" s="1"/>
  <c r="I28" i="4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A. Moustafa</author>
  </authors>
  <commentList>
    <comment ref="C4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Ahmed A. Moustafa:</t>
        </r>
        <r>
          <rPr>
            <sz val="9"/>
            <color indexed="81"/>
            <rFont val="Tahoma"/>
            <family val="2"/>
          </rPr>
          <t xml:space="preserve">
any extra cost can be inserted In this row as cost/ton of DRI since the cons/ton is 1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A. Moustafa</author>
  </authors>
  <commentList>
    <comment ref="E10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A. Moustafa:</t>
        </r>
        <r>
          <rPr>
            <sz val="9"/>
            <color indexed="81"/>
            <rFont val="Tahoma"/>
            <family val="2"/>
          </rPr>
          <t xml:space="preserve">
the 11% was the diff between produced and consumed billetes in actual cost sheet dec 2018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A. Moustafa</author>
  </authors>
  <commentList>
    <comment ref="E10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Ahmed A. Moustafa:</t>
        </r>
        <r>
          <rPr>
            <sz val="9"/>
            <color indexed="81"/>
            <rFont val="Tahoma"/>
            <family val="2"/>
          </rPr>
          <t xml:space="preserve">
the 11% was the diff between produced and consumed billetes in actual cost sheet dec 2018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A. Moustafa</author>
  </authors>
  <commentList>
    <comment ref="E10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Ahmed A. Moustafa:</t>
        </r>
        <r>
          <rPr>
            <sz val="9"/>
            <color indexed="81"/>
            <rFont val="Tahoma"/>
            <family val="2"/>
          </rPr>
          <t xml:space="preserve">
the 11% was the diff between produced and consumed billetes in actual cost sheet dec 2018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A. Moustafa</author>
  </authors>
  <commentList>
    <comment ref="E10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Ahmed A. Moustafa:</t>
        </r>
        <r>
          <rPr>
            <sz val="9"/>
            <color indexed="81"/>
            <rFont val="Tahoma"/>
            <family val="2"/>
          </rPr>
          <t xml:space="preserve">
the 11% was the diff between produced and consumed billetes in actual cost sheet dec 2018</t>
        </r>
      </text>
    </comment>
  </commentList>
</comments>
</file>

<file path=xl/sharedStrings.xml><?xml version="1.0" encoding="utf-8"?>
<sst xmlns="http://schemas.openxmlformats.org/spreadsheetml/2006/main" count="3559" uniqueCount="589">
  <si>
    <t>Steel Making - Stage #1</t>
  </si>
  <si>
    <t>FX Rate</t>
  </si>
  <si>
    <t>Inflation</t>
  </si>
  <si>
    <t>Rebar Production Cap</t>
  </si>
  <si>
    <t>Rebar Production Cap Utlization</t>
  </si>
  <si>
    <t>%</t>
  </si>
  <si>
    <t>MS Rebars Produced / Sold</t>
  </si>
  <si>
    <t>Rebar Export Sales %</t>
  </si>
  <si>
    <t>Rebar Local Sales %</t>
  </si>
  <si>
    <t>Rebar Export Selling Price</t>
  </si>
  <si>
    <t>USD</t>
  </si>
  <si>
    <t>Rebar Local Selling Price</t>
  </si>
  <si>
    <t>LE</t>
  </si>
  <si>
    <t>Produced Molten Steel</t>
  </si>
  <si>
    <t>Tons</t>
  </si>
  <si>
    <t>Yeild Rate</t>
  </si>
  <si>
    <t>Solid Charge</t>
  </si>
  <si>
    <t>Consumption</t>
  </si>
  <si>
    <t>Imported Scrap</t>
  </si>
  <si>
    <t>Local Scrap</t>
  </si>
  <si>
    <t>DRI</t>
  </si>
  <si>
    <t>Home scrap</t>
  </si>
  <si>
    <t xml:space="preserve">PIG IRON </t>
  </si>
  <si>
    <t>Byproduct (scrap)</t>
  </si>
  <si>
    <t>Auxiliary Materials</t>
  </si>
  <si>
    <t>KG/ton</t>
  </si>
  <si>
    <t>Refractories</t>
  </si>
  <si>
    <t>Electrodes</t>
  </si>
  <si>
    <t>Other Fillers</t>
  </si>
  <si>
    <t>Electricity</t>
  </si>
  <si>
    <t>Kwh/ton</t>
  </si>
  <si>
    <t>Natural Gas</t>
  </si>
  <si>
    <t>Nm3/ton</t>
  </si>
  <si>
    <t>Water</t>
  </si>
  <si>
    <t>M3/ton</t>
  </si>
  <si>
    <t>Oxygen</t>
  </si>
  <si>
    <t>Nitrogen</t>
  </si>
  <si>
    <t>Aragon</t>
  </si>
  <si>
    <t>Handling Machine over max. Qty.</t>
  </si>
  <si>
    <t xml:space="preserve">Cutting LTS </t>
  </si>
  <si>
    <t>Unit Purchase Price</t>
  </si>
  <si>
    <t>$/ton</t>
  </si>
  <si>
    <t>Byproduct</t>
  </si>
  <si>
    <t>$/KG</t>
  </si>
  <si>
    <t>$/KWH</t>
  </si>
  <si>
    <t>$/NM3</t>
  </si>
  <si>
    <t>$/M3</t>
  </si>
  <si>
    <t>Cost Per Ton</t>
  </si>
  <si>
    <t>Imported Scrap Blending Yeild</t>
  </si>
  <si>
    <t>Local Scrap Blending Yeild</t>
  </si>
  <si>
    <t xml:space="preserve">DRI Yeild </t>
  </si>
  <si>
    <t>Conversion Cost St 1</t>
  </si>
  <si>
    <t>MS Variable Cost/Ton</t>
  </si>
  <si>
    <t>Produced Billets</t>
  </si>
  <si>
    <t>Moltten Steel</t>
  </si>
  <si>
    <t>Byproduct (Rejected Slabs)</t>
  </si>
  <si>
    <t>Byproduct (Crops)</t>
  </si>
  <si>
    <t>Molten Steel</t>
  </si>
  <si>
    <t>Molten steel Yeild</t>
  </si>
  <si>
    <t>Conversion Cost St 2</t>
  </si>
  <si>
    <t>Rebars - Stage # 3</t>
  </si>
  <si>
    <t>Produced Rebars</t>
  </si>
  <si>
    <t>Imported Billets</t>
  </si>
  <si>
    <t>ton/ton</t>
  </si>
  <si>
    <t>Rolling Rings</t>
  </si>
  <si>
    <t>Produced Billet</t>
  </si>
  <si>
    <t>Imported Billet</t>
  </si>
  <si>
    <t>Work Roll Cosumptiom</t>
  </si>
  <si>
    <t>Produced Billets Yeild</t>
  </si>
  <si>
    <t>Imported Billets Yeild</t>
  </si>
  <si>
    <t>Conversion Cost St 3</t>
  </si>
  <si>
    <t>Rebar Variable Cost/Ton</t>
  </si>
  <si>
    <t>Rebar Variable EXP</t>
  </si>
  <si>
    <t>$</t>
  </si>
  <si>
    <t>Labor Exp</t>
  </si>
  <si>
    <t>Dep Exp</t>
  </si>
  <si>
    <t>Other Fixed Exp</t>
  </si>
  <si>
    <t>Labor</t>
  </si>
  <si>
    <t>Dep</t>
  </si>
  <si>
    <t>Other Fixed</t>
  </si>
  <si>
    <t>Rebar Fixed Cost/Ton</t>
  </si>
  <si>
    <t>Rebar Fixed EXP</t>
  </si>
  <si>
    <t>Rebar Manuf. Cost/Ton</t>
  </si>
  <si>
    <t>Rebar COGS</t>
  </si>
  <si>
    <t>COGS/Sales</t>
  </si>
  <si>
    <t>Cost/Ton</t>
  </si>
  <si>
    <t>Selling Price/Ton</t>
  </si>
  <si>
    <t>Gross Margin/Ton</t>
  </si>
  <si>
    <t>Inflation Rate</t>
  </si>
  <si>
    <t>HRC Produced / Sold</t>
  </si>
  <si>
    <t>Produced Slabs</t>
  </si>
  <si>
    <t>Slabs Variable Cost/Ton</t>
  </si>
  <si>
    <t>Produced HRC</t>
  </si>
  <si>
    <t>Rebar Cost / Ton</t>
  </si>
  <si>
    <t xml:space="preserve">Base </t>
  </si>
  <si>
    <t>Exchange Rate</t>
  </si>
  <si>
    <t>EGP/USD</t>
  </si>
  <si>
    <t>Rebars</t>
  </si>
  <si>
    <t>Total Rebar Production Capacity</t>
  </si>
  <si>
    <t>Capacity Utilization</t>
  </si>
  <si>
    <t>Export Sales</t>
  </si>
  <si>
    <t>Local Sales</t>
  </si>
  <si>
    <t>Rebars Yield</t>
  </si>
  <si>
    <t>Rebar Production</t>
  </si>
  <si>
    <t>Required Billets</t>
  </si>
  <si>
    <t>Imported Billets Tons</t>
  </si>
  <si>
    <t>Produced Billets Tons</t>
  </si>
  <si>
    <t>Local Billets Tons</t>
  </si>
  <si>
    <t>By-product</t>
  </si>
  <si>
    <t xml:space="preserve">N.Gas </t>
  </si>
  <si>
    <t>MMBTU/ton</t>
  </si>
  <si>
    <t>Recycled Water</t>
  </si>
  <si>
    <t>Tying</t>
  </si>
  <si>
    <t>Kg/ton</t>
  </si>
  <si>
    <t>Chemicals</t>
  </si>
  <si>
    <t>Label &amp; Rings</t>
  </si>
  <si>
    <t>Sp. Parts/Oil &amp; Grease</t>
  </si>
  <si>
    <t>External Services</t>
  </si>
  <si>
    <t>Unit Price</t>
  </si>
  <si>
    <t>Imported Billets Purchase Price</t>
  </si>
  <si>
    <t>USD/ton</t>
  </si>
  <si>
    <t>Extra Cost</t>
  </si>
  <si>
    <t>LE/ton</t>
  </si>
  <si>
    <t>Landed Cost</t>
  </si>
  <si>
    <t>LE Eq/ton</t>
  </si>
  <si>
    <t>Good / Prod Billet Purchase Price</t>
  </si>
  <si>
    <t>Local Billet Purchase Price</t>
  </si>
  <si>
    <t>By Product Reduction</t>
  </si>
  <si>
    <t>LE/KWH</t>
  </si>
  <si>
    <t>USD/MMBTU</t>
  </si>
  <si>
    <t>LE/NM3</t>
  </si>
  <si>
    <t>LE/Kg</t>
  </si>
  <si>
    <t>Rebar Fixed Exp</t>
  </si>
  <si>
    <t>Rebar Dep</t>
  </si>
  <si>
    <t>Other Exp (Exluding Dep)</t>
  </si>
  <si>
    <t>Rebar Cost Per Ton</t>
  </si>
  <si>
    <t>Local Billets</t>
  </si>
  <si>
    <t>By Product</t>
  </si>
  <si>
    <t>Raw Material Cost/Ton</t>
  </si>
  <si>
    <t>Other Variable Cost/Ton</t>
  </si>
  <si>
    <t>Conversion Cost / Ton Imp Billet</t>
  </si>
  <si>
    <t>Conversion Cost / Ton Prod Billet</t>
  </si>
  <si>
    <t>Conversion Cost / Ton Local Billet</t>
  </si>
  <si>
    <t>Conversion Cost / Ton Others</t>
  </si>
  <si>
    <t>Conversion Exp</t>
  </si>
  <si>
    <t>Rebar Manuf Cost/Ton</t>
  </si>
  <si>
    <t>Rebars COGS</t>
  </si>
  <si>
    <t>Total DRi Production Capacity</t>
  </si>
  <si>
    <t>DRI Selling Price</t>
  </si>
  <si>
    <t>MRMR</t>
  </si>
  <si>
    <t>Ratio</t>
  </si>
  <si>
    <t>Production</t>
  </si>
  <si>
    <t>Rquired IOP</t>
  </si>
  <si>
    <t>N.Gas</t>
  </si>
  <si>
    <t>Spare Parts &amp; Maint</t>
  </si>
  <si>
    <t>Other</t>
  </si>
  <si>
    <t>Oxide Pellets</t>
  </si>
  <si>
    <t>EGP/ton</t>
  </si>
  <si>
    <t>EGP/KWH</t>
  </si>
  <si>
    <t>EGP/Nm3</t>
  </si>
  <si>
    <t>DRI Fixed Exp</t>
  </si>
  <si>
    <t>DRI Dep</t>
  </si>
  <si>
    <t>IOP</t>
  </si>
  <si>
    <t>LE/M3</t>
  </si>
  <si>
    <t>DRI Conversion Cost / Ton RM</t>
  </si>
  <si>
    <t>DRI Conversion Cost / Ton Others</t>
  </si>
  <si>
    <t>DRI Conversion Exp</t>
  </si>
  <si>
    <t>DRI Variable Cost/Ton</t>
  </si>
  <si>
    <t>DRI Variable EXP</t>
  </si>
  <si>
    <t>DRI Fixed Cost/Ton</t>
  </si>
  <si>
    <t>DRI Fixed EXP</t>
  </si>
  <si>
    <t>DRI Manuf. Cost/Ton</t>
  </si>
  <si>
    <t>DRI COGS</t>
  </si>
  <si>
    <t>Item</t>
  </si>
  <si>
    <t>IOP Landed Cost</t>
  </si>
  <si>
    <t>NG Price</t>
  </si>
  <si>
    <t>NG Consumption</t>
  </si>
  <si>
    <t>EZDK</t>
  </si>
  <si>
    <t>Unit</t>
  </si>
  <si>
    <t>ERM</t>
  </si>
  <si>
    <t>Variable Manufacturing Cost</t>
  </si>
  <si>
    <t>Material Prices</t>
  </si>
  <si>
    <t>MRMR Effect</t>
  </si>
  <si>
    <t>Other Conversion Cost</t>
  </si>
  <si>
    <t>Total Conversion Cost</t>
  </si>
  <si>
    <t>Total Variable Manufacturing Cost</t>
  </si>
  <si>
    <t>$/t</t>
  </si>
  <si>
    <t>$/MMBTU</t>
  </si>
  <si>
    <t>t/t</t>
  </si>
  <si>
    <t>Nm3</t>
  </si>
  <si>
    <t>FX</t>
  </si>
  <si>
    <t>$/LE</t>
  </si>
  <si>
    <t>Local Billet</t>
  </si>
  <si>
    <t>EAF Yield</t>
  </si>
  <si>
    <t>BCCM Yield</t>
  </si>
  <si>
    <t>Yield Rate</t>
  </si>
  <si>
    <t>DRI Production Cost</t>
  </si>
  <si>
    <t>Billet Production Cost</t>
  </si>
  <si>
    <t>EFS</t>
  </si>
  <si>
    <t>ESR</t>
  </si>
  <si>
    <t>DRI Price</t>
  </si>
  <si>
    <t>Local Scrap Price</t>
  </si>
  <si>
    <t>Imported Scrap Landed Cost</t>
  </si>
  <si>
    <t>Elictricity Price</t>
  </si>
  <si>
    <t>DRI Blending Ratio</t>
  </si>
  <si>
    <t>CCP Yield</t>
  </si>
  <si>
    <t>BCCM - Stage # 2</t>
  </si>
  <si>
    <t>Billets Variable Cost/Ton</t>
  </si>
  <si>
    <t>Exporting Expenses</t>
  </si>
  <si>
    <t>EAF &amp; LF Electricity Consumption</t>
  </si>
  <si>
    <t>Material Price</t>
  </si>
  <si>
    <t>Yield Effect</t>
  </si>
  <si>
    <t>KWH/tms</t>
  </si>
  <si>
    <t>Billet yield from Solid Charge</t>
  </si>
  <si>
    <t>Electricity (EAF &amp; LF)</t>
  </si>
  <si>
    <t>Electricity (Aux - Airliq - Lime )</t>
  </si>
  <si>
    <t>KWH/Ton</t>
  </si>
  <si>
    <t>Refractories CCP</t>
  </si>
  <si>
    <t>Auxiliary Materials CCP</t>
  </si>
  <si>
    <t>Electricity CCP</t>
  </si>
  <si>
    <t>Natural Gas CCP</t>
  </si>
  <si>
    <t>Water CCP</t>
  </si>
  <si>
    <t>Oxygen CCP</t>
  </si>
  <si>
    <t>Yield effect</t>
  </si>
  <si>
    <t>Other Cov Cost</t>
  </si>
  <si>
    <t>Byproduct CCP</t>
  </si>
  <si>
    <t>Chem</t>
  </si>
  <si>
    <t>Consumables</t>
  </si>
  <si>
    <t>Billet Variable Cost/Ton</t>
  </si>
  <si>
    <t>the diff to be reduced to arrive to the same other conv cost</t>
  </si>
  <si>
    <t>Items</t>
  </si>
  <si>
    <t>Billet Trade off</t>
  </si>
  <si>
    <t>Source</t>
  </si>
  <si>
    <t>Market</t>
  </si>
  <si>
    <t>Units</t>
  </si>
  <si>
    <t>Minimum Billet Cost</t>
  </si>
  <si>
    <t>Rebar Productiom</t>
  </si>
  <si>
    <t>Rebar Yield</t>
  </si>
  <si>
    <t>Sc1 In-house billet</t>
  </si>
  <si>
    <t>Yeild Effect</t>
  </si>
  <si>
    <t>Home Scrap Deduction</t>
  </si>
  <si>
    <t>EZDK DRI Cost / Ton</t>
  </si>
  <si>
    <t>ERM DRI Cost / Ton</t>
  </si>
  <si>
    <t>Lables &amp; Rings</t>
  </si>
  <si>
    <t>Base</t>
  </si>
  <si>
    <t>Safe Guardes</t>
  </si>
  <si>
    <t>Other Costs</t>
  </si>
  <si>
    <t>Market Billet</t>
  </si>
  <si>
    <t>Market Price for Billet</t>
  </si>
  <si>
    <t>Difference</t>
  </si>
  <si>
    <t>Sc2 In-house billet</t>
  </si>
  <si>
    <t>Margin</t>
  </si>
  <si>
    <t>DRI Margin From ERM</t>
  </si>
  <si>
    <t>TSC Yield</t>
  </si>
  <si>
    <t>HSM Yield</t>
  </si>
  <si>
    <t>Byproduct TSC</t>
  </si>
  <si>
    <t>Auxiliary Materials TSC</t>
  </si>
  <si>
    <t>Refractories TSC</t>
  </si>
  <si>
    <t>Electricity TSC</t>
  </si>
  <si>
    <t>Natural Gas TSC</t>
  </si>
  <si>
    <t>Water TSC</t>
  </si>
  <si>
    <t>Oxygen TSC</t>
  </si>
  <si>
    <t>Wire Rod Productiom</t>
  </si>
  <si>
    <t xml:space="preserve"> / 10</t>
  </si>
  <si>
    <t>Total Monthly Fixed Cost</t>
  </si>
  <si>
    <t>Total Fixed Cost W/O Depretiation</t>
  </si>
  <si>
    <t>Manufacturing Fixed Cost</t>
  </si>
  <si>
    <t>SG&amp;A</t>
  </si>
  <si>
    <t>Net Finance Cost</t>
  </si>
  <si>
    <t>Depretiation</t>
  </si>
  <si>
    <t xml:space="preserve">USD Exchange rate </t>
  </si>
  <si>
    <t>Total Fixed</t>
  </si>
  <si>
    <t>$ M</t>
  </si>
  <si>
    <t>LE M</t>
  </si>
  <si>
    <t>HRC Production Cost</t>
  </si>
  <si>
    <t>Byproduct HRC</t>
  </si>
  <si>
    <t>Produced Slabes</t>
  </si>
  <si>
    <t>Electricity HRC</t>
  </si>
  <si>
    <t>Natural Gas HRC</t>
  </si>
  <si>
    <t>Water HRC</t>
  </si>
  <si>
    <t>Refractories HRC</t>
  </si>
  <si>
    <t>Work roll HRC</t>
  </si>
  <si>
    <t>TCS - Stage # 2</t>
  </si>
  <si>
    <t>HRC - Stage # 3</t>
  </si>
  <si>
    <t>Monthly Market Share</t>
  </si>
  <si>
    <t>Rebar</t>
  </si>
  <si>
    <t>Wire Rod</t>
  </si>
  <si>
    <t>HRC</t>
  </si>
  <si>
    <t>Total Sales Quantity</t>
  </si>
  <si>
    <t>Ktons</t>
  </si>
  <si>
    <t>EZDK % from Group sales</t>
  </si>
  <si>
    <t>EFS  % from Group sales</t>
  </si>
  <si>
    <t>ERM % from Group sales</t>
  </si>
  <si>
    <t>ESR % from Group sales</t>
  </si>
  <si>
    <t>Selling Prices</t>
  </si>
  <si>
    <t>Fixed Cost Distribution</t>
  </si>
  <si>
    <t>Flat</t>
  </si>
  <si>
    <t>EBIT</t>
  </si>
  <si>
    <t>Net Financing Cost</t>
  </si>
  <si>
    <t>Net Profit Before Tax</t>
  </si>
  <si>
    <t>Total</t>
  </si>
  <si>
    <t>Total Monthly Fixed Cost including Depretiation</t>
  </si>
  <si>
    <t>Gross Margin</t>
  </si>
  <si>
    <t>Sales</t>
  </si>
  <si>
    <t>GOGS</t>
  </si>
  <si>
    <t>COGS</t>
  </si>
  <si>
    <t>GP</t>
  </si>
  <si>
    <t>Monthly Production requirment</t>
  </si>
  <si>
    <t>1 - Long Production Line</t>
  </si>
  <si>
    <t xml:space="preserve">Rebars </t>
  </si>
  <si>
    <t>Billet</t>
  </si>
  <si>
    <t>EAF Solid Charge (W/O Aux &amp; Alloys)</t>
  </si>
  <si>
    <t>Imported Scrap Blending Ratio</t>
  </si>
  <si>
    <t>Local Scrap Blending Ratio</t>
  </si>
  <si>
    <t>local Scrap</t>
  </si>
  <si>
    <t>2 - Flat Production Line</t>
  </si>
  <si>
    <t>Molten steel</t>
  </si>
  <si>
    <t>Monthly Production Summary</t>
  </si>
  <si>
    <t>Scrap</t>
  </si>
  <si>
    <t>Local Sales Value</t>
  </si>
  <si>
    <t>Price per unit</t>
  </si>
  <si>
    <t>Export Sales Value</t>
  </si>
  <si>
    <t>Total Sales Value</t>
  </si>
  <si>
    <t>Average price per unit</t>
  </si>
  <si>
    <t>Varible COGS</t>
  </si>
  <si>
    <t>Cost per unit</t>
  </si>
  <si>
    <t>Exporting expences</t>
  </si>
  <si>
    <t>CM per unit</t>
  </si>
  <si>
    <t>Contribution Margin value</t>
  </si>
  <si>
    <t>EBT</t>
  </si>
  <si>
    <t>EBTD per unit</t>
  </si>
  <si>
    <t>Cash Earning before Tax &amp; Dep</t>
  </si>
  <si>
    <t>Total Fixed Exp</t>
  </si>
  <si>
    <t>M $</t>
  </si>
  <si>
    <t>Sub-Total</t>
  </si>
  <si>
    <t>EZDK Export</t>
  </si>
  <si>
    <t>EFS Export</t>
  </si>
  <si>
    <t>P &amp; L Statement per month Sc. 2</t>
  </si>
  <si>
    <t>Ezz Steel market Share</t>
  </si>
  <si>
    <t>Ezz Steel</t>
  </si>
  <si>
    <t>Intercompany Gains</t>
  </si>
  <si>
    <t>EBT per unit</t>
  </si>
  <si>
    <t>P &amp; L Statement per month LE</t>
  </si>
  <si>
    <t>P &amp; L Statement per month USD</t>
  </si>
  <si>
    <t>M LE</t>
  </si>
  <si>
    <t>LE/t</t>
  </si>
  <si>
    <t>P &amp; L Statement per Annual USD</t>
  </si>
  <si>
    <t>EZDK Sales</t>
  </si>
  <si>
    <t>Rod</t>
  </si>
  <si>
    <t>Selling Price (LE)</t>
  </si>
  <si>
    <t>Selling Price ($)</t>
  </si>
  <si>
    <t>Cost per unit (LE)</t>
  </si>
  <si>
    <t>FC per unit</t>
  </si>
  <si>
    <t>WA Selling Price (LE)</t>
  </si>
  <si>
    <t>Required Billet (K-tons)</t>
  </si>
  <si>
    <t>DRI Required (K-tons)</t>
  </si>
  <si>
    <t>Required Solid Charge (K-tons)</t>
  </si>
  <si>
    <t>IOP Required (K-tons)</t>
  </si>
  <si>
    <t>Total Quantity (K-tons)</t>
  </si>
  <si>
    <t>Local (K-tons)</t>
  </si>
  <si>
    <t>Export (K-tons)</t>
  </si>
  <si>
    <t>CCP</t>
  </si>
  <si>
    <t>DRP 1 (EZDK)</t>
  </si>
  <si>
    <t>DRP 2 (EZDK)</t>
  </si>
  <si>
    <t>DRP 3 (EZDK)</t>
  </si>
  <si>
    <t>DRP (ERM)</t>
  </si>
  <si>
    <t>EAF (EZDK)</t>
  </si>
  <si>
    <t>BMP 1 &amp; 2</t>
  </si>
  <si>
    <t>BMP 3</t>
  </si>
  <si>
    <t>Rod Yield</t>
  </si>
  <si>
    <t>Selling Price LE</t>
  </si>
  <si>
    <t>Eport Sales</t>
  </si>
  <si>
    <t>Selling Price $</t>
  </si>
  <si>
    <t>Slabs</t>
  </si>
  <si>
    <t>Required Slabs (K-tons)</t>
  </si>
  <si>
    <t>Billet Yield (From Solid Charge) {EAF &amp; CCP}</t>
  </si>
  <si>
    <t>Slabs Yield (From Solid Charge) {EAF &amp; TSC}</t>
  </si>
  <si>
    <t>TSC</t>
  </si>
  <si>
    <t>TSC Yiled</t>
  </si>
  <si>
    <t xml:space="preserve">EAF Yield </t>
  </si>
  <si>
    <t>EAF (EFS)</t>
  </si>
  <si>
    <t>EAF (ESR)</t>
  </si>
  <si>
    <t>HSM (EZDK)</t>
  </si>
  <si>
    <t>BMP (EFS)</t>
  </si>
  <si>
    <t>HSM (EFS)</t>
  </si>
  <si>
    <t>BMP (ESR)</t>
  </si>
  <si>
    <t>Billet (Imported)</t>
  </si>
  <si>
    <t>BMP (ERM)</t>
  </si>
  <si>
    <t xml:space="preserve"> / 12</t>
  </si>
  <si>
    <t>Monthly Production &amp; Sales summary 2020</t>
  </si>
  <si>
    <t>2020 Monthly Production plan (K-tons)</t>
  </si>
  <si>
    <t>VC + FC</t>
  </si>
  <si>
    <t>BE Quantity</t>
  </si>
  <si>
    <t>K-ton</t>
  </si>
  <si>
    <t>Total Local Market</t>
  </si>
  <si>
    <t>Group Local Sales Quantity</t>
  </si>
  <si>
    <t>N/A</t>
  </si>
  <si>
    <t>Cash</t>
  </si>
  <si>
    <t>Net Receivable</t>
  </si>
  <si>
    <t>Net Inventory</t>
  </si>
  <si>
    <t>Other Current Assets</t>
  </si>
  <si>
    <t>Total Current assets</t>
  </si>
  <si>
    <t>Net plant property and Equipment</t>
  </si>
  <si>
    <t>Perminant level of inventory</t>
  </si>
  <si>
    <t>Other Non Current Assets</t>
  </si>
  <si>
    <t>Total Non Current Assets</t>
  </si>
  <si>
    <t>STL</t>
  </si>
  <si>
    <t>CPLTD</t>
  </si>
  <si>
    <t>Accounts Payable</t>
  </si>
  <si>
    <t>Due to Sister Companies</t>
  </si>
  <si>
    <t>Total Other Current Liabilites</t>
  </si>
  <si>
    <t>Total Current Liabilites</t>
  </si>
  <si>
    <t>MTL</t>
  </si>
  <si>
    <t>MTRF</t>
  </si>
  <si>
    <t>Accounts Payable LT</t>
  </si>
  <si>
    <t>Due to Sister Companies LT</t>
  </si>
  <si>
    <t>Danielli</t>
  </si>
  <si>
    <t>Deffered Tax</t>
  </si>
  <si>
    <t>Total Non current Liabilities</t>
  </si>
  <si>
    <t>Common Stock</t>
  </si>
  <si>
    <t>Premium</t>
  </si>
  <si>
    <t>RE Opening</t>
  </si>
  <si>
    <t>Net Profits</t>
  </si>
  <si>
    <t>RE Closing</t>
  </si>
  <si>
    <t>Total Equity</t>
  </si>
  <si>
    <t>Total Assets</t>
  </si>
  <si>
    <t>Total Liabilities</t>
  </si>
  <si>
    <t>Total Liablities and Equity</t>
  </si>
  <si>
    <t>DRI VC</t>
  </si>
  <si>
    <t>IOP Price</t>
  </si>
  <si>
    <t>DRI Cost</t>
  </si>
  <si>
    <t>Scrap Cost</t>
  </si>
  <si>
    <t>Rebar Other Conversion Cost</t>
  </si>
  <si>
    <t>Fixed Mnf / ton $</t>
  </si>
  <si>
    <t>Total COGS / ton $</t>
  </si>
  <si>
    <t>Total Cost</t>
  </si>
  <si>
    <t>Finished Production Millions ton</t>
  </si>
  <si>
    <t>DRI Other Conversion cost</t>
  </si>
  <si>
    <t>DRI Blending ratio</t>
  </si>
  <si>
    <t>Yield EAF &amp; CCP</t>
  </si>
  <si>
    <t>Yield rebar %</t>
  </si>
  <si>
    <t>Rebar total Variable Cost</t>
  </si>
  <si>
    <t>Total Fixed Excl Dep /ton $</t>
  </si>
  <si>
    <t>A+B</t>
  </si>
  <si>
    <t>B</t>
  </si>
  <si>
    <t>A</t>
  </si>
  <si>
    <t>C</t>
  </si>
  <si>
    <t>D</t>
  </si>
  <si>
    <t>A+B+C+D</t>
  </si>
  <si>
    <t>FX: $@LE</t>
  </si>
  <si>
    <t xml:space="preserve">Integrated </t>
  </si>
  <si>
    <t>EZDK Base</t>
  </si>
  <si>
    <t>ESR Base</t>
  </si>
  <si>
    <t xml:space="preserve">Semi-Integrated </t>
  </si>
  <si>
    <t>t</t>
  </si>
  <si>
    <t>ratio</t>
  </si>
  <si>
    <t>Main Assumptions</t>
  </si>
  <si>
    <t>Raw Material Prices (IOP C&amp;F @ $130)
                                   (Scrap C&amp;F @ $300)</t>
  </si>
  <si>
    <t>EZDK Adjusted (1)</t>
  </si>
  <si>
    <t>(1) EZDK Adjusted scenario is calculted by deducting the finance of the 2 sister companies amounting EGP 5.5 bn</t>
  </si>
  <si>
    <t>SUEZ Steel (2)</t>
  </si>
  <si>
    <t xml:space="preserve">(2) Suez Steel Scenario assumed: (a) SG&amp;A 40% of EZDK's (prorated to production capacity)
                                                         (b) Interest Expense of 14.5% on WC of 90 days Inventory DOH </t>
  </si>
  <si>
    <t>Net Fixed Ex</t>
  </si>
  <si>
    <t>Others (3)</t>
  </si>
  <si>
    <t xml:space="preserve">(3) For level field comparison we assumed same production level of 840 K-ton as ESR assumed: 
                                                         (a) SG&amp;A 2% of Total Revenues
                                                         (b) Interest Expense of 14.5% on WC of 90 days Inventory DOH </t>
  </si>
  <si>
    <t>RM</t>
  </si>
  <si>
    <t>Dep &amp; OH</t>
  </si>
  <si>
    <t>Cost / t</t>
  </si>
  <si>
    <t>Main RM</t>
  </si>
  <si>
    <t>Aux + Ref +Electrodes</t>
  </si>
  <si>
    <t>Energy Ngas</t>
  </si>
  <si>
    <t>Energy Electricty</t>
  </si>
  <si>
    <t>Other Utility</t>
  </si>
  <si>
    <t>N Gas</t>
  </si>
  <si>
    <t>% from Rebar</t>
  </si>
  <si>
    <t>Equity</t>
  </si>
  <si>
    <t>Short Term</t>
  </si>
  <si>
    <t>Long Term</t>
  </si>
  <si>
    <t>Total DRI</t>
  </si>
  <si>
    <t>Total Billet</t>
  </si>
  <si>
    <t>x</t>
  </si>
  <si>
    <t>xx</t>
  </si>
  <si>
    <t>Total Rebar</t>
  </si>
  <si>
    <t>Integrated</t>
  </si>
  <si>
    <t>Semi Integrated</t>
  </si>
  <si>
    <t>Re-rollers</t>
  </si>
  <si>
    <t>DRI Other Conversion Cost</t>
  </si>
  <si>
    <t>DRI Variable Cost</t>
  </si>
  <si>
    <t>Total Yield Effect</t>
  </si>
  <si>
    <t>EAF &amp; CCP Yield</t>
  </si>
  <si>
    <t>Scrap Price</t>
  </si>
  <si>
    <t>WA Scrap Price</t>
  </si>
  <si>
    <t>Fixed Mnf Cost</t>
  </si>
  <si>
    <t>Financial Expenses</t>
  </si>
  <si>
    <t>Rebar Variable Cost</t>
  </si>
  <si>
    <t>Total Fixed Excluding Dep</t>
  </si>
  <si>
    <t>DRI Yield Effect</t>
  </si>
  <si>
    <t>Scrap Yield Effect</t>
  </si>
  <si>
    <t>Assumptions &amp; Calculations</t>
  </si>
  <si>
    <t>Rebar Selling Price</t>
  </si>
  <si>
    <t>Rebar Production Volume</t>
  </si>
  <si>
    <t>K-tons</t>
  </si>
  <si>
    <t>SG&amp;A % of total Revenue</t>
  </si>
  <si>
    <t>Sales &amp; SG&amp;A</t>
  </si>
  <si>
    <t>Production &amp; Yields</t>
  </si>
  <si>
    <t>Yield Effect Calculation</t>
  </si>
  <si>
    <t>Total Interest</t>
  </si>
  <si>
    <t>Interest / t</t>
  </si>
  <si>
    <t>EGP</t>
  </si>
  <si>
    <t>Debt&amp; Interest</t>
  </si>
  <si>
    <t>EZDK Adj</t>
  </si>
  <si>
    <t>Others</t>
  </si>
  <si>
    <t>Total COGS + SG&amp;A</t>
  </si>
  <si>
    <t>Average Interest Rate</t>
  </si>
  <si>
    <t>M EGP</t>
  </si>
  <si>
    <t>Interest value</t>
  </si>
  <si>
    <t>Debt Level WC 90 DOH Inventory</t>
  </si>
  <si>
    <t>LE/$</t>
  </si>
  <si>
    <t>DRI Cost (Including Yield)</t>
  </si>
  <si>
    <t>Scrap Cost (Including Yield)</t>
  </si>
  <si>
    <t>RM Prices</t>
  </si>
  <si>
    <t>IOP FOB</t>
  </si>
  <si>
    <t>Fright</t>
  </si>
  <si>
    <t>Miniral Jetty</t>
  </si>
  <si>
    <t>Imported Billet C&amp;F</t>
  </si>
  <si>
    <t>Safe Guards</t>
  </si>
  <si>
    <t>Billet Landed Cost</t>
  </si>
  <si>
    <t>Good Billet Price (EZDK)</t>
  </si>
  <si>
    <t>DRI MRMR</t>
  </si>
  <si>
    <t>IOP Cost (Including MRMR)</t>
  </si>
  <si>
    <t>Billet Cost (Including Yield)</t>
  </si>
  <si>
    <t>Total Production Cost</t>
  </si>
  <si>
    <t>Pig/DRI</t>
  </si>
  <si>
    <t>Pig/DRI Transport</t>
  </si>
  <si>
    <t>Industrial Gases</t>
  </si>
  <si>
    <t>Ferroalloys</t>
  </si>
  <si>
    <t>Fluxes</t>
  </si>
  <si>
    <t>Thermal Energy</t>
  </si>
  <si>
    <t>Capital Charges</t>
  </si>
  <si>
    <t>Cons/t</t>
  </si>
  <si>
    <t>Fixed</t>
  </si>
  <si>
    <t>Varible</t>
  </si>
  <si>
    <t>ton</t>
  </si>
  <si>
    <t>Cubic m</t>
  </si>
  <si>
    <t>GJ</t>
  </si>
  <si>
    <t>MWH</t>
  </si>
  <si>
    <t>Houra</t>
  </si>
  <si>
    <t>EAF WW</t>
  </si>
  <si>
    <t>Scrap Transport</t>
  </si>
  <si>
    <t>Price $</t>
  </si>
  <si>
    <t>Total $</t>
  </si>
  <si>
    <t>Yield</t>
  </si>
  <si>
    <t>BR DRI</t>
  </si>
  <si>
    <t>Mnf Cost</t>
  </si>
  <si>
    <t>Interest</t>
  </si>
  <si>
    <t>Interest/t</t>
  </si>
  <si>
    <t>COGS/t</t>
  </si>
  <si>
    <t>Sales/t</t>
  </si>
  <si>
    <t>Estimated Rebar Production Cost for Integrated, Semi-Integrated and Re-rollers as of 30-Dec.-2019</t>
  </si>
  <si>
    <t>Se</t>
  </si>
  <si>
    <t>T.Sales</t>
  </si>
  <si>
    <t>T.COGS</t>
  </si>
  <si>
    <t>Rebar Sales</t>
  </si>
  <si>
    <t>Rebar SG&amp;A</t>
  </si>
  <si>
    <t>T.SG&amp;A</t>
  </si>
  <si>
    <t>Rebar Sales M t</t>
  </si>
  <si>
    <t>EZDK Actual 2018</t>
  </si>
  <si>
    <t>Total sales M t</t>
  </si>
  <si>
    <t>Others Actual 2018</t>
  </si>
  <si>
    <t>Total Billet Cap Million ton</t>
  </si>
  <si>
    <t>Actual Rebar Sales Million ton</t>
  </si>
  <si>
    <t>New COGS  EGP/t</t>
  </si>
  <si>
    <t>T.Sales Million EGP</t>
  </si>
  <si>
    <t>T.COGS Million EGP</t>
  </si>
  <si>
    <t>T.SG&amp;A Million EGP</t>
  </si>
  <si>
    <t>T.Interest Million EGP</t>
  </si>
  <si>
    <t>Rolling Exp Million EGP</t>
  </si>
  <si>
    <t>New COGS  Million EGP</t>
  </si>
  <si>
    <t>New COGS  $/t</t>
  </si>
  <si>
    <t>Assuming full rebar production for Others</t>
  </si>
  <si>
    <t>% of total</t>
  </si>
  <si>
    <t>Selling Price</t>
  </si>
  <si>
    <t>EZDK Actual 18</t>
  </si>
  <si>
    <t>Others  Actual 18</t>
  </si>
  <si>
    <t>Other net operating Exp</t>
  </si>
  <si>
    <t>Billet avalible for sale</t>
  </si>
  <si>
    <t>Net Interest</t>
  </si>
  <si>
    <t>Rebar Interest *</t>
  </si>
  <si>
    <t>* As of 31/12/18 the net interest allocated for rebars where EGP 901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</si>
</sst>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0_)"/>
    <numFmt numFmtId="165" formatCode="#,##0.0"/>
    <numFmt numFmtId="166" formatCode="0.0%"/>
    <numFmt numFmtId="167" formatCode="#,##0.0_);\(#,##0.0\)"/>
    <numFmt numFmtId="168" formatCode="#,##0.0000"/>
    <numFmt numFmtId="169" formatCode="#,##0.000"/>
    <numFmt numFmtId="170" formatCode="0.000%"/>
    <numFmt numFmtId="171" formatCode="0.00000000"/>
    <numFmt numFmtId="172" formatCode="0.0"/>
    <numFmt numFmtId="173" formatCode="_(* #,##0_);_(* \(#,##0\);_(* &quot;-&quot;??_);_(@_)"/>
    <numFmt numFmtId="174" formatCode="0.000"/>
    <numFmt numFmtId="175" formatCode="#,##0.00000"/>
    <numFmt numFmtId="176" formatCode="#,##0.000000000000000"/>
    <numFmt numFmtId="177" formatCode="_(* #,##0.0_);_(* \(#,##0.0\);_(* &quot;-&quot;??_);_(@_)"/>
    <numFmt numFmtId="178" formatCode="_(* #,##0.000_);_(* \(#,##0.000\);_(* &quot;-&quot;??_);_(@_)"/>
  </numFmts>
  <fonts count="6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0"/>
      <color rgb="FFF7941D"/>
      <name val="Times New Roman"/>
      <family val="1"/>
    </font>
    <font>
      <sz val="12"/>
      <color rgb="FF000000"/>
      <name val="Arial"/>
      <family val="2"/>
    </font>
    <font>
      <sz val="10"/>
      <name val="Times New Roman"/>
      <family val="1"/>
    </font>
    <font>
      <sz val="10"/>
      <name val="Courier New"/>
      <family val="3"/>
    </font>
    <font>
      <b/>
      <sz val="10"/>
      <name val="Times New Roman"/>
      <family val="1"/>
    </font>
    <font>
      <sz val="1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color rgb="FFF7941D"/>
      <name val="Courier New"/>
      <family val="3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Courier New"/>
      <family val="3"/>
    </font>
    <font>
      <sz val="10"/>
      <color rgb="FFFF0000"/>
      <name val="Courier New"/>
      <family val="3"/>
    </font>
    <font>
      <sz val="10"/>
      <color theme="1"/>
      <name val="Courier New"/>
      <family val="3"/>
    </font>
    <font>
      <b/>
      <sz val="10"/>
      <name val="Courier New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2"/>
      <name val="Times New Roman"/>
      <family val="1"/>
    </font>
    <font>
      <b/>
      <sz val="18"/>
      <color rgb="FF003300"/>
      <name val="Times New Roman"/>
      <family val="1"/>
    </font>
    <font>
      <sz val="20"/>
      <name val="Times New Roman"/>
      <family val="1"/>
    </font>
    <font>
      <sz val="22"/>
      <name val="Times New Roman"/>
      <family val="1"/>
    </font>
    <font>
      <sz val="14"/>
      <color rgb="FFF7941D"/>
      <name val="Times New Roman"/>
      <family val="1"/>
    </font>
    <font>
      <sz val="10"/>
      <color rgb="FFFFFFFF"/>
      <name val="Times New Roman"/>
      <family val="1"/>
    </font>
    <font>
      <sz val="11"/>
      <color rgb="FFF7941D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003300"/>
      <name val="Times New Roman"/>
      <family val="1"/>
    </font>
    <font>
      <b/>
      <sz val="11"/>
      <color rgb="FF003300"/>
      <name val="Times New Roman"/>
      <family val="1"/>
    </font>
    <font>
      <b/>
      <sz val="11"/>
      <color rgb="FFF7941D"/>
      <name val="Times New Roman"/>
      <family val="1"/>
    </font>
    <font>
      <b/>
      <sz val="11"/>
      <color rgb="FF16365C"/>
      <name val="Times New Roman"/>
      <family val="1"/>
    </font>
    <font>
      <b/>
      <i/>
      <sz val="11"/>
      <color rgb="FFFF0000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003300"/>
      <name val="Times New Roman"/>
      <family val="1"/>
    </font>
    <font>
      <i/>
      <sz val="10"/>
      <color rgb="FF003300"/>
      <name val="Times New Roman"/>
      <family val="1"/>
    </font>
    <font>
      <b/>
      <sz val="10"/>
      <color rgb="FF003300"/>
      <name val="Times New Roman"/>
      <family val="1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Arial"/>
      <family val="2"/>
    </font>
    <font>
      <b/>
      <sz val="22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333300"/>
      </patternFill>
    </fill>
    <fill>
      <patternFill patternType="solid">
        <fgColor theme="0"/>
        <bgColor indexed="64"/>
      </patternFill>
    </fill>
    <fill>
      <patternFill patternType="solid">
        <fgColor rgb="FF2D6EBD"/>
        <bgColor rgb="FF333300"/>
      </patternFill>
    </fill>
    <fill>
      <patternFill patternType="solid">
        <fgColor rgb="FFFFFF00"/>
        <bgColor rgb="FF333300"/>
      </patternFill>
    </fill>
    <fill>
      <patternFill patternType="solid">
        <fgColor theme="5" tint="0.79998168889431442"/>
        <bgColor rgb="FF333300"/>
      </patternFill>
    </fill>
    <fill>
      <patternFill patternType="solid">
        <fgColor rgb="FF92D050"/>
        <bgColor rgb="FF333300"/>
      </patternFill>
    </fill>
    <fill>
      <patternFill patternType="solid">
        <fgColor theme="0"/>
        <bgColor rgb="FFCCFFFF"/>
      </patternFill>
    </fill>
    <fill>
      <patternFill patternType="solid">
        <fgColor rgb="FFFF0000"/>
        <bgColor rgb="FF333300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1">
    <border>
      <left/>
      <right/>
      <top/>
      <bottom/>
      <diagonal/>
    </border>
    <border>
      <left/>
      <right/>
      <top style="thin">
        <color rgb="FFCCFFCC"/>
      </top>
      <bottom style="thick">
        <color auto="1"/>
      </bottom>
      <diagonal/>
    </border>
    <border>
      <left style="thin">
        <color rgb="FFCCFFCC"/>
      </left>
      <right/>
      <top style="thin">
        <color rgb="FFCCFFCC"/>
      </top>
      <bottom style="thick">
        <color auto="1"/>
      </bottom>
      <diagonal/>
    </border>
    <border>
      <left style="medium">
        <color rgb="FFCCFFCC"/>
      </left>
      <right style="thick">
        <color auto="1"/>
      </right>
      <top style="medium">
        <color rgb="FFCCFFCC"/>
      </top>
      <bottom style="thick">
        <color auto="1"/>
      </bottom>
      <diagonal/>
    </border>
    <border>
      <left style="thick">
        <color auto="1"/>
      </left>
      <right style="thin">
        <color rgb="FFCCFFCC"/>
      </right>
      <top style="thick">
        <color auto="1"/>
      </top>
      <bottom style="thin">
        <color rgb="FFCCFFCC"/>
      </bottom>
      <diagonal/>
    </border>
    <border>
      <left style="thick">
        <color auto="1"/>
      </left>
      <right/>
      <top style="thick">
        <color auto="1"/>
      </top>
      <bottom style="thin">
        <color rgb="FFCCFFCC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rgb="FFCCFFCC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n">
        <color rgb="FFCCFFCC"/>
      </right>
      <top/>
      <bottom/>
      <diagonal/>
    </border>
    <border>
      <left style="thick">
        <color auto="1"/>
      </left>
      <right style="thin">
        <color rgb="FFCCFFCC"/>
      </right>
      <top/>
      <bottom style="thin">
        <color rgb="FFCCFFCC"/>
      </bottom>
      <diagonal/>
    </border>
    <border>
      <left style="thick">
        <color auto="1"/>
      </left>
      <right/>
      <top/>
      <bottom style="thin">
        <color rgb="FFCCFFCC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rgb="FFCCFFCC"/>
      </bottom>
      <diagonal/>
    </border>
    <border>
      <left/>
      <right/>
      <top style="thick">
        <color auto="1"/>
      </top>
      <bottom style="thin">
        <color rgb="FFCCFFCC"/>
      </bottom>
      <diagonal/>
    </border>
    <border>
      <left style="thick">
        <color auto="1"/>
      </left>
      <right style="thin">
        <color theme="0"/>
      </right>
      <top style="thick">
        <color auto="1"/>
      </top>
      <bottom style="thin">
        <color theme="0"/>
      </bottom>
      <diagonal/>
    </border>
    <border>
      <left style="thick">
        <color auto="1"/>
      </left>
      <right/>
      <top style="thick">
        <color auto="1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Dashed">
        <color auto="1"/>
      </left>
      <right style="thick">
        <color auto="1"/>
      </right>
      <top style="thin">
        <color auto="1"/>
      </top>
      <bottom/>
      <diagonal/>
    </border>
    <border>
      <left style="mediumDashed">
        <color auto="1"/>
      </left>
      <right style="thick">
        <color auto="1"/>
      </right>
      <top/>
      <bottom/>
      <diagonal/>
    </border>
    <border>
      <left style="mediumDashed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hair">
        <color auto="1"/>
      </left>
      <right style="thick">
        <color auto="1"/>
      </right>
      <top/>
      <bottom style="thick">
        <color auto="1"/>
      </bottom>
      <diagonal/>
    </border>
    <border>
      <left style="hair">
        <color auto="1"/>
      </left>
      <right style="thick">
        <color auto="1"/>
      </right>
      <top/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DashDotDot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DotDot">
        <color indexed="64"/>
      </left>
      <right style="medium">
        <color indexed="64"/>
      </right>
      <top style="thin">
        <color indexed="64"/>
      </top>
      <bottom/>
      <diagonal/>
    </border>
    <border>
      <left style="mediumDashDotDot">
        <color indexed="64"/>
      </left>
      <right style="medium">
        <color indexed="64"/>
      </right>
      <top/>
      <bottom/>
      <diagonal/>
    </border>
    <border>
      <left style="mediumDashDotDot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DashDotDot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medium">
        <color indexed="64"/>
      </top>
      <bottom/>
      <diagonal/>
    </border>
    <border>
      <left style="hair">
        <color indexed="64"/>
      </left>
      <right style="medium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hair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indexed="64"/>
      </right>
      <top style="medium">
        <color auto="1"/>
      </top>
      <bottom/>
      <diagonal/>
    </border>
    <border>
      <left style="mediumDashDotDot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DashDotDot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DashDotDot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/>
      <bottom/>
      <diagonal/>
    </border>
    <border>
      <left style="mediumDashed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Dashed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ashed">
        <color auto="1"/>
      </left>
      <right style="mediumDashed">
        <color indexed="64"/>
      </right>
      <top style="medium">
        <color auto="1"/>
      </top>
      <bottom style="medium">
        <color indexed="64"/>
      </bottom>
      <diagonal/>
    </border>
    <border>
      <left style="dashed">
        <color auto="1"/>
      </left>
      <right style="mediumDashed">
        <color indexed="64"/>
      </right>
      <top/>
      <bottom/>
      <diagonal/>
    </border>
    <border>
      <left style="dashed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0" fontId="2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0" fillId="0" borderId="0"/>
    <xf numFmtId="43" fontId="60" fillId="0" borderId="0" applyFont="0" applyFill="0" applyBorder="0" applyAlignment="0" applyProtection="0"/>
    <xf numFmtId="9" fontId="60" fillId="0" borderId="0" applyFont="0" applyFill="0" applyBorder="0" applyAlignment="0" applyProtection="0"/>
  </cellStyleXfs>
  <cellXfs count="849">
    <xf numFmtId="0" fontId="0" fillId="0" borderId="0" xfId="0"/>
    <xf numFmtId="0" fontId="3" fillId="2" borderId="0" xfId="1" applyFont="1" applyFill="1"/>
    <xf numFmtId="0" fontId="5" fillId="2" borderId="0" xfId="2" applyFont="1" applyFill="1"/>
    <xf numFmtId="0" fontId="5" fillId="2" borderId="0" xfId="2" applyFont="1" applyFill="1" applyAlignment="1">
      <alignment horizontal="center"/>
    </xf>
    <xf numFmtId="0" fontId="6" fillId="3" borderId="0" xfId="3" applyFont="1" applyFill="1"/>
    <xf numFmtId="164" fontId="7" fillId="2" borderId="1" xfId="2" applyNumberFormat="1" applyFont="1" applyFill="1" applyBorder="1" applyAlignment="1">
      <alignment horizontal="center" vertical="center"/>
    </xf>
    <xf numFmtId="0" fontId="8" fillId="3" borderId="0" xfId="3" applyFont="1" applyFill="1"/>
    <xf numFmtId="0" fontId="9" fillId="4" borderId="3" xfId="2" applyFont="1" applyFill="1" applyBorder="1" applyAlignment="1">
      <alignment horizontal="center" vertical="center"/>
    </xf>
    <xf numFmtId="0" fontId="10" fillId="2" borderId="0" xfId="1" applyFont="1" applyFill="1"/>
    <xf numFmtId="0" fontId="11" fillId="2" borderId="4" xfId="2" applyFont="1" applyFill="1" applyBorder="1"/>
    <xf numFmtId="3" fontId="5" fillId="2" borderId="5" xfId="2" applyNumberFormat="1" applyFont="1" applyFill="1" applyBorder="1" applyAlignment="1">
      <alignment horizontal="center" vertical="center"/>
    </xf>
    <xf numFmtId="0" fontId="12" fillId="3" borderId="0" xfId="3" applyFont="1" applyFill="1"/>
    <xf numFmtId="0" fontId="11" fillId="2" borderId="0" xfId="2" applyFont="1" applyFill="1"/>
    <xf numFmtId="3" fontId="5" fillId="2" borderId="0" xfId="2" applyNumberFormat="1" applyFont="1" applyFill="1" applyAlignment="1">
      <alignment horizontal="center" vertical="center"/>
    </xf>
    <xf numFmtId="3" fontId="13" fillId="2" borderId="5" xfId="2" applyNumberFormat="1" applyFont="1" applyFill="1" applyBorder="1" applyAlignment="1">
      <alignment horizontal="center" vertical="center"/>
    </xf>
    <xf numFmtId="0" fontId="13" fillId="2" borderId="0" xfId="2" applyFont="1" applyFill="1"/>
    <xf numFmtId="9" fontId="13" fillId="2" borderId="0" xfId="4" applyFont="1" applyFill="1" applyBorder="1" applyAlignment="1">
      <alignment horizontal="center" vertical="center"/>
    </xf>
    <xf numFmtId="9" fontId="5" fillId="2" borderId="0" xfId="4" applyFont="1" applyFill="1" applyBorder="1" applyAlignment="1"/>
    <xf numFmtId="9" fontId="5" fillId="2" borderId="0" xfId="4" applyFont="1" applyFill="1" applyBorder="1" applyAlignment="1">
      <alignment horizontal="center" vertical="center"/>
    </xf>
    <xf numFmtId="3" fontId="5" fillId="2" borderId="6" xfId="2" applyNumberFormat="1" applyFont="1" applyFill="1" applyBorder="1" applyAlignment="1">
      <alignment horizontal="center" vertical="center"/>
    </xf>
    <xf numFmtId="3" fontId="13" fillId="2" borderId="0" xfId="2" applyNumberFormat="1" applyFont="1" applyFill="1" applyAlignment="1">
      <alignment horizontal="center" vertical="center"/>
    </xf>
    <xf numFmtId="0" fontId="11" fillId="2" borderId="7" xfId="2" applyFont="1" applyFill="1" applyBorder="1"/>
    <xf numFmtId="0" fontId="5" fillId="2" borderId="0" xfId="2" applyFont="1" applyFill="1" applyAlignment="1">
      <alignment horizontal="center" vertical="center"/>
    </xf>
    <xf numFmtId="3" fontId="5" fillId="2" borderId="8" xfId="2" applyNumberFormat="1" applyFont="1" applyFill="1" applyBorder="1" applyAlignment="1">
      <alignment horizontal="center" vertical="center"/>
    </xf>
    <xf numFmtId="0" fontId="5" fillId="2" borderId="9" xfId="2" applyFont="1" applyFill="1" applyBorder="1"/>
    <xf numFmtId="9" fontId="13" fillId="2" borderId="6" xfId="5" applyFont="1" applyFill="1" applyBorder="1" applyAlignment="1">
      <alignment horizontal="center" vertical="center"/>
    </xf>
    <xf numFmtId="0" fontId="13" fillId="2" borderId="0" xfId="2" applyFont="1" applyFill="1" applyAlignment="1">
      <alignment horizontal="center" vertical="center"/>
    </xf>
    <xf numFmtId="0" fontId="14" fillId="2" borderId="0" xfId="1" applyFont="1" applyFill="1"/>
    <xf numFmtId="0" fontId="15" fillId="3" borderId="0" xfId="3" applyFont="1" applyFill="1"/>
    <xf numFmtId="0" fontId="5" fillId="2" borderId="10" xfId="2" applyFont="1" applyFill="1" applyBorder="1"/>
    <xf numFmtId="37" fontId="5" fillId="2" borderId="11" xfId="2" applyNumberFormat="1" applyFont="1" applyFill="1" applyBorder="1" applyAlignment="1">
      <alignment horizontal="center" vertical="center"/>
    </xf>
    <xf numFmtId="0" fontId="11" fillId="2" borderId="7" xfId="2" applyFont="1" applyFill="1" applyBorder="1" applyAlignment="1">
      <alignment horizontal="center"/>
    </xf>
    <xf numFmtId="166" fontId="10" fillId="2" borderId="0" xfId="5" applyNumberFormat="1" applyFont="1" applyFill="1" applyBorder="1" applyAlignment="1">
      <alignment horizontal="center"/>
    </xf>
    <xf numFmtId="3" fontId="13" fillId="2" borderId="8" xfId="2" applyNumberFormat="1" applyFont="1" applyFill="1" applyBorder="1" applyAlignment="1">
      <alignment horizontal="center" vertical="center"/>
    </xf>
    <xf numFmtId="3" fontId="5" fillId="2" borderId="0" xfId="2" applyNumberFormat="1" applyFont="1" applyFill="1"/>
    <xf numFmtId="3" fontId="13" fillId="2" borderId="6" xfId="2" applyNumberFormat="1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/>
    </xf>
    <xf numFmtId="4" fontId="5" fillId="2" borderId="6" xfId="2" applyNumberFormat="1" applyFont="1" applyFill="1" applyBorder="1" applyAlignment="1">
      <alignment horizontal="center" vertical="center"/>
    </xf>
    <xf numFmtId="9" fontId="10" fillId="2" borderId="0" xfId="5" applyFont="1" applyFill="1" applyBorder="1" applyAlignment="1">
      <alignment horizontal="center"/>
    </xf>
    <xf numFmtId="3" fontId="13" fillId="2" borderId="11" xfId="2" applyNumberFormat="1" applyFont="1" applyFill="1" applyBorder="1" applyAlignment="1">
      <alignment horizontal="center" vertical="center"/>
    </xf>
    <xf numFmtId="3" fontId="13" fillId="2" borderId="0" xfId="2" applyNumberFormat="1" applyFont="1" applyFill="1"/>
    <xf numFmtId="3" fontId="10" fillId="2" borderId="8" xfId="2" applyNumberFormat="1" applyFont="1" applyFill="1" applyBorder="1" applyAlignment="1">
      <alignment horizontal="center" vertical="center"/>
    </xf>
    <xf numFmtId="0" fontId="5" fillId="5" borderId="9" xfId="2" applyFont="1" applyFill="1" applyBorder="1"/>
    <xf numFmtId="37" fontId="13" fillId="2" borderId="6" xfId="2" applyNumberFormat="1" applyFont="1" applyFill="1" applyBorder="1" applyAlignment="1">
      <alignment horizontal="center" vertical="center"/>
    </xf>
    <xf numFmtId="37" fontId="10" fillId="2" borderId="6" xfId="2" applyNumberFormat="1" applyFont="1" applyFill="1" applyBorder="1" applyAlignment="1">
      <alignment horizontal="center" vertical="center"/>
    </xf>
    <xf numFmtId="37" fontId="13" fillId="2" borderId="11" xfId="2" applyNumberFormat="1" applyFont="1" applyFill="1" applyBorder="1" applyAlignment="1">
      <alignment horizontal="center" vertical="center"/>
    </xf>
    <xf numFmtId="37" fontId="13" fillId="2" borderId="0" xfId="2" applyNumberFormat="1" applyFont="1" applyFill="1"/>
    <xf numFmtId="37" fontId="13" fillId="2" borderId="8" xfId="2" applyNumberFormat="1" applyFont="1" applyFill="1" applyBorder="1" applyAlignment="1">
      <alignment horizontal="center" vertical="center"/>
    </xf>
    <xf numFmtId="167" fontId="13" fillId="2" borderId="6" xfId="2" applyNumberFormat="1" applyFont="1" applyFill="1" applyBorder="1" applyAlignment="1">
      <alignment horizontal="center" vertical="center"/>
    </xf>
    <xf numFmtId="0" fontId="5" fillId="0" borderId="10" xfId="2" applyFont="1" applyBorder="1"/>
    <xf numFmtId="4" fontId="13" fillId="2" borderId="8" xfId="2" applyNumberFormat="1" applyFont="1" applyFill="1" applyBorder="1" applyAlignment="1">
      <alignment horizontal="center" vertical="center"/>
    </xf>
    <xf numFmtId="4" fontId="13" fillId="2" borderId="6" xfId="2" applyNumberFormat="1" applyFont="1" applyFill="1" applyBorder="1" applyAlignment="1">
      <alignment horizontal="center" vertical="center"/>
    </xf>
    <xf numFmtId="37" fontId="5" fillId="2" borderId="6" xfId="2" applyNumberFormat="1" applyFont="1" applyFill="1" applyBorder="1" applyAlignment="1">
      <alignment horizontal="center" vertical="center"/>
    </xf>
    <xf numFmtId="4" fontId="13" fillId="2" borderId="11" xfId="2" applyNumberFormat="1" applyFont="1" applyFill="1" applyBorder="1" applyAlignment="1">
      <alignment horizontal="center" vertical="center"/>
    </xf>
    <xf numFmtId="4" fontId="6" fillId="3" borderId="0" xfId="3" applyNumberFormat="1" applyFont="1" applyFill="1"/>
    <xf numFmtId="0" fontId="11" fillId="2" borderId="9" xfId="2" applyFont="1" applyFill="1" applyBorder="1" applyAlignment="1">
      <alignment horizontal="center"/>
    </xf>
    <xf numFmtId="4" fontId="13" fillId="2" borderId="0" xfId="2" applyNumberFormat="1" applyFont="1" applyFill="1"/>
    <xf numFmtId="168" fontId="13" fillId="2" borderId="8" xfId="2" applyNumberFormat="1" applyFont="1" applyFill="1" applyBorder="1" applyAlignment="1">
      <alignment horizontal="center" vertical="center"/>
    </xf>
    <xf numFmtId="4" fontId="5" fillId="2" borderId="8" xfId="2" applyNumberFormat="1" applyFont="1" applyFill="1" applyBorder="1" applyAlignment="1">
      <alignment horizontal="center" vertical="center"/>
    </xf>
    <xf numFmtId="168" fontId="13" fillId="2" borderId="6" xfId="2" applyNumberFormat="1" applyFont="1" applyFill="1" applyBorder="1" applyAlignment="1">
      <alignment horizontal="center" vertical="center"/>
    </xf>
    <xf numFmtId="168" fontId="13" fillId="2" borderId="11" xfId="2" applyNumberFormat="1" applyFont="1" applyFill="1" applyBorder="1" applyAlignment="1">
      <alignment horizontal="center" vertical="center"/>
    </xf>
    <xf numFmtId="4" fontId="5" fillId="2" borderId="11" xfId="2" applyNumberFormat="1" applyFont="1" applyFill="1" applyBorder="1" applyAlignment="1">
      <alignment horizontal="center" vertical="center"/>
    </xf>
    <xf numFmtId="4" fontId="5" fillId="2" borderId="0" xfId="2" applyNumberFormat="1" applyFont="1" applyFill="1"/>
    <xf numFmtId="165" fontId="5" fillId="2" borderId="0" xfId="2" applyNumberFormat="1" applyFont="1" applyFill="1"/>
    <xf numFmtId="169" fontId="5" fillId="2" borderId="8" xfId="2" applyNumberFormat="1" applyFont="1" applyFill="1" applyBorder="1" applyAlignment="1">
      <alignment horizontal="center" vertical="center"/>
    </xf>
    <xf numFmtId="170" fontId="5" fillId="2" borderId="0" xfId="4" applyNumberFormat="1" applyFont="1" applyFill="1" applyBorder="1" applyAlignment="1"/>
    <xf numFmtId="169" fontId="5" fillId="2" borderId="6" xfId="2" applyNumberFormat="1" applyFont="1" applyFill="1" applyBorder="1" applyAlignment="1">
      <alignment horizontal="center" vertical="center"/>
    </xf>
    <xf numFmtId="165" fontId="5" fillId="2" borderId="6" xfId="2" applyNumberFormat="1" applyFont="1" applyFill="1" applyBorder="1" applyAlignment="1">
      <alignment horizontal="center" vertical="center"/>
    </xf>
    <xf numFmtId="165" fontId="5" fillId="2" borderId="11" xfId="2" applyNumberFormat="1" applyFont="1" applyFill="1" applyBorder="1" applyAlignment="1">
      <alignment horizontal="center" vertical="center"/>
    </xf>
    <xf numFmtId="171" fontId="5" fillId="2" borderId="0" xfId="2" applyNumberFormat="1" applyFont="1" applyFill="1"/>
    <xf numFmtId="165" fontId="6" fillId="3" borderId="0" xfId="3" applyNumberFormat="1" applyFont="1" applyFill="1"/>
    <xf numFmtId="168" fontId="5" fillId="5" borderId="6" xfId="2" applyNumberFormat="1" applyFont="1" applyFill="1" applyBorder="1" applyAlignment="1">
      <alignment horizontal="center" vertical="center"/>
    </xf>
    <xf numFmtId="169" fontId="5" fillId="2" borderId="11" xfId="2" applyNumberFormat="1" applyFont="1" applyFill="1" applyBorder="1" applyAlignment="1">
      <alignment horizontal="center" vertical="center"/>
    </xf>
    <xf numFmtId="169" fontId="5" fillId="2" borderId="0" xfId="2" applyNumberFormat="1" applyFont="1" applyFill="1"/>
    <xf numFmtId="4" fontId="5" fillId="5" borderId="8" xfId="2" applyNumberFormat="1" applyFont="1" applyFill="1" applyBorder="1" applyAlignment="1">
      <alignment horizontal="center" vertical="center"/>
    </xf>
    <xf numFmtId="0" fontId="5" fillId="6" borderId="0" xfId="2" applyFont="1" applyFill="1"/>
    <xf numFmtId="0" fontId="5" fillId="6" borderId="0" xfId="2" applyFont="1" applyFill="1" applyAlignment="1">
      <alignment horizontal="center"/>
    </xf>
    <xf numFmtId="172" fontId="5" fillId="6" borderId="0" xfId="4" applyNumberFormat="1" applyFont="1" applyFill="1" applyBorder="1" applyAlignment="1">
      <alignment horizontal="center" vertical="center"/>
    </xf>
    <xf numFmtId="0" fontId="7" fillId="6" borderId="0" xfId="2" applyFont="1" applyFill="1"/>
    <xf numFmtId="0" fontId="7" fillId="6" borderId="0" xfId="2" applyFont="1" applyFill="1" applyAlignment="1">
      <alignment horizontal="center"/>
    </xf>
    <xf numFmtId="165" fontId="7" fillId="6" borderId="0" xfId="2" applyNumberFormat="1" applyFont="1" applyFill="1" applyAlignment="1">
      <alignment horizontal="center" vertical="center"/>
    </xf>
    <xf numFmtId="168" fontId="5" fillId="2" borderId="5" xfId="2" applyNumberFormat="1" applyFont="1" applyFill="1" applyBorder="1" applyAlignment="1">
      <alignment horizontal="center" vertical="center"/>
    </xf>
    <xf numFmtId="4" fontId="5" fillId="2" borderId="5" xfId="2" applyNumberFormat="1" applyFont="1" applyFill="1" applyBorder="1" applyAlignment="1">
      <alignment horizontal="center" vertical="center"/>
    </xf>
    <xf numFmtId="37" fontId="5" fillId="2" borderId="0" xfId="2" applyNumberFormat="1" applyFont="1" applyFill="1" applyAlignment="1">
      <alignment horizontal="center" vertical="center"/>
    </xf>
    <xf numFmtId="165" fontId="13" fillId="2" borderId="8" xfId="2" applyNumberFormat="1" applyFont="1" applyFill="1" applyBorder="1" applyAlignment="1">
      <alignment horizontal="center" vertical="center"/>
    </xf>
    <xf numFmtId="165" fontId="13" fillId="2" borderId="0" xfId="2" applyNumberFormat="1" applyFont="1" applyFill="1"/>
    <xf numFmtId="165" fontId="13" fillId="2" borderId="11" xfId="2" applyNumberFormat="1" applyFont="1" applyFill="1" applyBorder="1" applyAlignment="1">
      <alignment horizontal="center" vertical="center"/>
    </xf>
    <xf numFmtId="166" fontId="13" fillId="2" borderId="0" xfId="5" applyNumberFormat="1" applyFont="1" applyFill="1" applyBorder="1" applyAlignment="1">
      <alignment horizontal="center"/>
    </xf>
    <xf numFmtId="39" fontId="13" fillId="2" borderId="5" xfId="2" applyNumberFormat="1" applyFont="1" applyFill="1" applyBorder="1" applyAlignment="1">
      <alignment horizontal="center" vertical="center"/>
    </xf>
    <xf numFmtId="37" fontId="13" fillId="2" borderId="12" xfId="2" applyNumberFormat="1" applyFont="1" applyFill="1" applyBorder="1" applyAlignment="1">
      <alignment horizontal="center" vertical="center"/>
    </xf>
    <xf numFmtId="39" fontId="13" fillId="2" borderId="6" xfId="2" applyNumberFormat="1" applyFont="1" applyFill="1" applyBorder="1" applyAlignment="1">
      <alignment horizontal="center" vertical="center"/>
    </xf>
    <xf numFmtId="39" fontId="13" fillId="2" borderId="11" xfId="2" applyNumberFormat="1" applyFont="1" applyFill="1" applyBorder="1" applyAlignment="1">
      <alignment horizontal="center" vertical="center"/>
    </xf>
    <xf numFmtId="0" fontId="16" fillId="3" borderId="0" xfId="3" applyFont="1" applyFill="1"/>
    <xf numFmtId="0" fontId="17" fillId="3" borderId="0" xfId="3" applyFont="1" applyFill="1"/>
    <xf numFmtId="37" fontId="13" fillId="2" borderId="5" xfId="2" applyNumberFormat="1" applyFont="1" applyFill="1" applyBorder="1" applyAlignment="1">
      <alignment horizontal="center" vertical="center"/>
    </xf>
    <xf numFmtId="4" fontId="5" fillId="2" borderId="13" xfId="2" applyNumberFormat="1" applyFont="1" applyFill="1" applyBorder="1" applyAlignment="1">
      <alignment horizontal="center" vertical="center"/>
    </xf>
    <xf numFmtId="4" fontId="5" fillId="2" borderId="0" xfId="2" applyNumberFormat="1" applyFont="1" applyFill="1" applyAlignment="1">
      <alignment horizontal="center" vertical="center"/>
    </xf>
    <xf numFmtId="4" fontId="5" fillId="2" borderId="14" xfId="2" applyNumberFormat="1" applyFont="1" applyFill="1" applyBorder="1" applyAlignment="1">
      <alignment horizontal="center" vertical="center"/>
    </xf>
    <xf numFmtId="4" fontId="5" fillId="2" borderId="15" xfId="2" applyNumberFormat="1" applyFont="1" applyFill="1" applyBorder="1" applyAlignment="1">
      <alignment horizontal="center" vertical="center"/>
    </xf>
    <xf numFmtId="4" fontId="5" fillId="2" borderId="12" xfId="2" applyNumberFormat="1" applyFont="1" applyFill="1" applyBorder="1" applyAlignment="1">
      <alignment horizontal="center" vertical="center"/>
    </xf>
    <xf numFmtId="0" fontId="5" fillId="6" borderId="9" xfId="2" applyFont="1" applyFill="1" applyBorder="1"/>
    <xf numFmtId="167" fontId="5" fillId="6" borderId="0" xfId="2" applyNumberFormat="1" applyFont="1" applyFill="1" applyAlignment="1">
      <alignment horizontal="center" vertical="center"/>
    </xf>
    <xf numFmtId="167" fontId="7" fillId="6" borderId="0" xfId="2" applyNumberFormat="1" applyFont="1" applyFill="1" applyAlignment="1">
      <alignment horizontal="center" vertical="center"/>
    </xf>
    <xf numFmtId="168" fontId="5" fillId="2" borderId="0" xfId="2" applyNumberFormat="1" applyFont="1" applyFill="1" applyAlignment="1">
      <alignment horizontal="center" vertical="center"/>
    </xf>
    <xf numFmtId="0" fontId="5" fillId="2" borderId="7" xfId="2" applyFont="1" applyFill="1" applyBorder="1"/>
    <xf numFmtId="9" fontId="5" fillId="2" borderId="13" xfId="5" applyFont="1" applyFill="1" applyBorder="1" applyAlignment="1">
      <alignment horizontal="center" vertical="center"/>
    </xf>
    <xf numFmtId="9" fontId="5" fillId="2" borderId="8" xfId="5" applyFont="1" applyFill="1" applyBorder="1" applyAlignment="1">
      <alignment horizontal="center" vertical="center"/>
    </xf>
    <xf numFmtId="37" fontId="5" fillId="2" borderId="14" xfId="2" applyNumberFormat="1" applyFont="1" applyFill="1" applyBorder="1" applyAlignment="1">
      <alignment horizontal="center" vertical="center"/>
    </xf>
    <xf numFmtId="0" fontId="18" fillId="3" borderId="0" xfId="3" applyFont="1" applyFill="1"/>
    <xf numFmtId="0" fontId="18" fillId="3" borderId="0" xfId="3" applyFont="1" applyFill="1" applyAlignment="1">
      <alignment horizontal="center"/>
    </xf>
    <xf numFmtId="0" fontId="1" fillId="3" borderId="0" xfId="3" applyFill="1"/>
    <xf numFmtId="10" fontId="13" fillId="2" borderId="6" xfId="5" applyNumberFormat="1" applyFont="1" applyFill="1" applyBorder="1" applyAlignment="1">
      <alignment horizontal="center" vertical="center"/>
    </xf>
    <xf numFmtId="174" fontId="25" fillId="2" borderId="0" xfId="1" applyNumberFormat="1" applyFont="1" applyFill="1"/>
    <xf numFmtId="39" fontId="23" fillId="2" borderId="0" xfId="1" applyNumberFormat="1" applyFont="1" applyFill="1" applyAlignment="1">
      <alignment horizontal="center" vertical="center"/>
    </xf>
    <xf numFmtId="0" fontId="26" fillId="2" borderId="0" xfId="1" applyFont="1" applyFill="1"/>
    <xf numFmtId="0" fontId="27" fillId="2" borderId="0" xfId="1" applyFont="1" applyFill="1"/>
    <xf numFmtId="0" fontId="24" fillId="2" borderId="0" xfId="1" applyFont="1" applyFill="1"/>
    <xf numFmtId="0" fontId="3" fillId="2" borderId="0" xfId="1" applyFont="1" applyFill="1" applyAlignment="1">
      <alignment vertical="center"/>
    </xf>
    <xf numFmtId="0" fontId="12" fillId="3" borderId="0" xfId="3" applyFont="1" applyFill="1" applyAlignment="1">
      <alignment vertical="center"/>
    </xf>
    <xf numFmtId="0" fontId="6" fillId="3" borderId="0" xfId="3" applyFont="1" applyFill="1" applyAlignment="1">
      <alignment vertical="center"/>
    </xf>
    <xf numFmtId="0" fontId="2" fillId="3" borderId="0" xfId="1" applyFill="1"/>
    <xf numFmtId="0" fontId="28" fillId="2" borderId="0" xfId="1" applyFont="1" applyFill="1"/>
    <xf numFmtId="0" fontId="29" fillId="2" borderId="0" xfId="1" applyFont="1" applyFill="1" applyAlignment="1">
      <alignment horizontal="center"/>
    </xf>
    <xf numFmtId="0" fontId="29" fillId="2" borderId="0" xfId="1" applyFont="1" applyFill="1"/>
    <xf numFmtId="164" fontId="30" fillId="2" borderId="2" xfId="1" applyNumberFormat="1" applyFont="1" applyFill="1" applyBorder="1" applyAlignment="1">
      <alignment horizontal="center" vertical="center"/>
    </xf>
    <xf numFmtId="0" fontId="30" fillId="2" borderId="7" xfId="1" applyFont="1" applyFill="1" applyBorder="1"/>
    <xf numFmtId="0" fontId="29" fillId="2" borderId="0" xfId="1" applyFont="1" applyFill="1" applyAlignment="1">
      <alignment horizontal="center" vertical="center"/>
    </xf>
    <xf numFmtId="3" fontId="31" fillId="2" borderId="8" xfId="1" applyNumberFormat="1" applyFont="1" applyFill="1" applyBorder="1" applyAlignment="1">
      <alignment horizontal="center" vertical="center"/>
    </xf>
    <xf numFmtId="0" fontId="29" fillId="2" borderId="10" xfId="1" applyFont="1" applyFill="1" applyBorder="1"/>
    <xf numFmtId="0" fontId="30" fillId="2" borderId="3" xfId="1" applyFont="1" applyFill="1" applyBorder="1" applyAlignment="1">
      <alignment horizontal="center" vertical="center"/>
    </xf>
    <xf numFmtId="3" fontId="31" fillId="2" borderId="8" xfId="4" applyNumberFormat="1" applyFont="1" applyFill="1" applyBorder="1" applyAlignment="1">
      <alignment horizontal="center" vertical="center"/>
    </xf>
    <xf numFmtId="0" fontId="30" fillId="2" borderId="9" xfId="1" applyFont="1" applyFill="1" applyBorder="1"/>
    <xf numFmtId="37" fontId="31" fillId="2" borderId="11" xfId="1" applyNumberFormat="1" applyFont="1" applyFill="1" applyBorder="1" applyAlignment="1">
      <alignment horizontal="center" vertical="center"/>
    </xf>
    <xf numFmtId="3" fontId="28" fillId="2" borderId="0" xfId="1" applyNumberFormat="1" applyFont="1" applyFill="1" applyAlignment="1">
      <alignment horizontal="center" vertical="center"/>
    </xf>
    <xf numFmtId="37" fontId="11" fillId="2" borderId="6" xfId="1" applyNumberFormat="1" applyFont="1" applyFill="1" applyBorder="1" applyAlignment="1">
      <alignment horizontal="center" vertical="center"/>
    </xf>
    <xf numFmtId="0" fontId="31" fillId="2" borderId="7" xfId="1" applyFont="1" applyFill="1" applyBorder="1" applyAlignment="1">
      <alignment horizontal="center" vertical="center"/>
    </xf>
    <xf numFmtId="39" fontId="31" fillId="2" borderId="6" xfId="1" applyNumberFormat="1" applyFont="1" applyFill="1" applyBorder="1" applyAlignment="1">
      <alignment horizontal="center" vertical="center"/>
    </xf>
    <xf numFmtId="39" fontId="11" fillId="2" borderId="6" xfId="1" applyNumberFormat="1" applyFont="1" applyFill="1" applyBorder="1" applyAlignment="1">
      <alignment horizontal="center" vertical="center"/>
    </xf>
    <xf numFmtId="37" fontId="31" fillId="2" borderId="6" xfId="1" applyNumberFormat="1" applyFont="1" applyFill="1" applyBorder="1" applyAlignment="1">
      <alignment horizontal="center" vertical="center"/>
    </xf>
    <xf numFmtId="0" fontId="30" fillId="2" borderId="7" xfId="1" applyFont="1" applyFill="1" applyBorder="1" applyAlignment="1">
      <alignment horizontal="center"/>
    </xf>
    <xf numFmtId="3" fontId="31" fillId="2" borderId="6" xfId="1" applyNumberFormat="1" applyFont="1" applyFill="1" applyBorder="1" applyAlignment="1">
      <alignment horizontal="center" vertical="center"/>
    </xf>
    <xf numFmtId="0" fontId="31" fillId="2" borderId="7" xfId="1" applyFont="1" applyFill="1" applyBorder="1" applyAlignment="1">
      <alignment horizontal="center"/>
    </xf>
    <xf numFmtId="0" fontId="30" fillId="2" borderId="0" xfId="1" applyFont="1" applyFill="1"/>
    <xf numFmtId="167" fontId="30" fillId="2" borderId="6" xfId="1" applyNumberFormat="1" applyFont="1" applyFill="1" applyBorder="1" applyAlignment="1">
      <alignment horizontal="center" vertical="center"/>
    </xf>
    <xf numFmtId="37" fontId="30" fillId="2" borderId="6" xfId="1" applyNumberFormat="1" applyFont="1" applyFill="1" applyBorder="1" applyAlignment="1">
      <alignment horizontal="center" vertical="center"/>
    </xf>
    <xf numFmtId="3" fontId="30" fillId="2" borderId="0" xfId="1" applyNumberFormat="1" applyFont="1" applyFill="1" applyAlignment="1">
      <alignment horizontal="center" vertical="center"/>
    </xf>
    <xf numFmtId="0" fontId="31" fillId="2" borderId="7" xfId="1" applyFont="1" applyFill="1" applyBorder="1"/>
    <xf numFmtId="3" fontId="30" fillId="2" borderId="8" xfId="1" applyNumberFormat="1" applyFont="1" applyFill="1" applyBorder="1" applyAlignment="1">
      <alignment horizontal="center" vertical="center"/>
    </xf>
    <xf numFmtId="3" fontId="30" fillId="2" borderId="6" xfId="1" applyNumberFormat="1" applyFont="1" applyFill="1" applyBorder="1" applyAlignment="1">
      <alignment horizontal="center" vertical="center"/>
    </xf>
    <xf numFmtId="37" fontId="30" fillId="2" borderId="11" xfId="1" applyNumberFormat="1" applyFont="1" applyFill="1" applyBorder="1" applyAlignment="1">
      <alignment horizontal="center" vertical="center"/>
    </xf>
    <xf numFmtId="0" fontId="31" fillId="2" borderId="7" xfId="1" applyFont="1" applyFill="1" applyBorder="1" applyAlignment="1">
      <alignment vertical="center"/>
    </xf>
    <xf numFmtId="0" fontId="30" fillId="2" borderId="10" xfId="1" applyFont="1" applyFill="1" applyBorder="1" applyAlignment="1">
      <alignment vertical="center"/>
    </xf>
    <xf numFmtId="9" fontId="30" fillId="2" borderId="8" xfId="4" applyFont="1" applyFill="1" applyBorder="1" applyAlignment="1">
      <alignment horizontal="center" vertical="center"/>
    </xf>
    <xf numFmtId="0" fontId="32" fillId="2" borderId="0" xfId="1" applyFont="1" applyFill="1" applyAlignment="1">
      <alignment horizontal="center" vertical="center"/>
    </xf>
    <xf numFmtId="0" fontId="34" fillId="2" borderId="0" xfId="1" applyFont="1" applyFill="1"/>
    <xf numFmtId="0" fontId="35" fillId="2" borderId="0" xfId="1" applyFont="1" applyFill="1" applyAlignment="1">
      <alignment horizontal="center" vertical="center"/>
    </xf>
    <xf numFmtId="9" fontId="36" fillId="2" borderId="11" xfId="4" applyFont="1" applyFill="1" applyBorder="1" applyAlignment="1">
      <alignment horizontal="center" vertical="center"/>
    </xf>
    <xf numFmtId="37" fontId="33" fillId="2" borderId="0" xfId="1" applyNumberFormat="1" applyFont="1" applyFill="1" applyAlignment="1">
      <alignment horizontal="center" vertical="center"/>
    </xf>
    <xf numFmtId="0" fontId="34" fillId="2" borderId="0" xfId="1" applyFont="1" applyFill="1" applyAlignment="1">
      <alignment horizontal="center" vertical="center"/>
    </xf>
    <xf numFmtId="0" fontId="29" fillId="2" borderId="4" xfId="1" applyFont="1" applyFill="1" applyBorder="1"/>
    <xf numFmtId="37" fontId="31" fillId="2" borderId="5" xfId="1" applyNumberFormat="1" applyFont="1" applyFill="1" applyBorder="1" applyAlignment="1">
      <alignment horizontal="center" vertical="center"/>
    </xf>
    <xf numFmtId="0" fontId="33" fillId="2" borderId="0" xfId="1" applyFont="1" applyFill="1"/>
    <xf numFmtId="39" fontId="31" fillId="2" borderId="8" xfId="1" applyNumberFormat="1" applyFont="1" applyFill="1" applyBorder="1" applyAlignment="1">
      <alignment horizontal="center" vertical="center"/>
    </xf>
    <xf numFmtId="0" fontId="29" fillId="2" borderId="9" xfId="1" applyFont="1" applyFill="1" applyBorder="1"/>
    <xf numFmtId="3" fontId="11" fillId="2" borderId="6" xfId="4" applyNumberFormat="1" applyFont="1" applyFill="1" applyBorder="1" applyAlignment="1">
      <alignment horizontal="center" vertical="center"/>
    </xf>
    <xf numFmtId="3" fontId="30" fillId="8" borderId="11" xfId="1" applyNumberFormat="1" applyFont="1" applyFill="1" applyBorder="1" applyAlignment="1">
      <alignment horizontal="center" vertical="center"/>
    </xf>
    <xf numFmtId="0" fontId="37" fillId="2" borderId="0" xfId="1" applyFont="1" applyFill="1" applyAlignment="1">
      <alignment horizontal="center" vertical="center"/>
    </xf>
    <xf numFmtId="0" fontId="28" fillId="2" borderId="0" xfId="1" applyFont="1" applyFill="1" applyAlignment="1">
      <alignment horizontal="center" vertical="center"/>
    </xf>
    <xf numFmtId="0" fontId="33" fillId="2" borderId="0" xfId="1" applyFont="1" applyFill="1" applyAlignment="1">
      <alignment horizontal="center" vertical="center"/>
    </xf>
    <xf numFmtId="167" fontId="31" fillId="2" borderId="11" xfId="1" applyNumberFormat="1" applyFont="1" applyFill="1" applyBorder="1" applyAlignment="1">
      <alignment horizontal="center" vertical="center"/>
    </xf>
    <xf numFmtId="0" fontId="30" fillId="2" borderId="0" xfId="1" applyFont="1" applyFill="1" applyAlignment="1">
      <alignment horizontal="center" vertical="center"/>
    </xf>
    <xf numFmtId="0" fontId="38" fillId="2" borderId="0" xfId="1" applyFont="1" applyFill="1" applyAlignment="1">
      <alignment horizontal="center" vertical="center"/>
    </xf>
    <xf numFmtId="167" fontId="31" fillId="2" borderId="6" xfId="1" applyNumberFormat="1" applyFont="1" applyFill="1" applyBorder="1" applyAlignment="1">
      <alignment horizontal="center" vertical="center"/>
    </xf>
    <xf numFmtId="39" fontId="33" fillId="2" borderId="0" xfId="1" applyNumberFormat="1" applyFont="1" applyFill="1" applyAlignment="1">
      <alignment horizontal="center" vertical="center"/>
    </xf>
    <xf numFmtId="167" fontId="11" fillId="2" borderId="6" xfId="1" applyNumberFormat="1" applyFont="1" applyFill="1" applyBorder="1" applyAlignment="1">
      <alignment horizontal="center" vertical="center"/>
    </xf>
    <xf numFmtId="0" fontId="31" fillId="2" borderId="0" xfId="1" applyFont="1" applyFill="1" applyAlignment="1">
      <alignment horizontal="center" vertical="center"/>
    </xf>
    <xf numFmtId="9" fontId="28" fillId="2" borderId="0" xfId="4" applyFont="1" applyFill="1" applyBorder="1" applyAlignment="1"/>
    <xf numFmtId="3" fontId="28" fillId="2" borderId="0" xfId="1" applyNumberFormat="1" applyFont="1" applyFill="1"/>
    <xf numFmtId="165" fontId="30" fillId="2" borderId="6" xfId="1" applyNumberFormat="1" applyFont="1" applyFill="1" applyBorder="1" applyAlignment="1">
      <alignment horizontal="center" vertical="center"/>
    </xf>
    <xf numFmtId="165" fontId="28" fillId="2" borderId="0" xfId="1" applyNumberFormat="1" applyFont="1" applyFill="1"/>
    <xf numFmtId="165" fontId="34" fillId="2" borderId="0" xfId="1" applyNumberFormat="1" applyFont="1" applyFill="1"/>
    <xf numFmtId="165" fontId="30" fillId="2" borderId="11" xfId="1" applyNumberFormat="1" applyFont="1" applyFill="1" applyBorder="1" applyAlignment="1">
      <alignment horizontal="center" vertical="center"/>
    </xf>
    <xf numFmtId="165" fontId="30" fillId="2" borderId="0" xfId="1" applyNumberFormat="1" applyFont="1" applyFill="1" applyAlignment="1">
      <alignment horizontal="center" vertical="center"/>
    </xf>
    <xf numFmtId="3" fontId="30" fillId="0" borderId="8" xfId="1" applyNumberFormat="1" applyFont="1" applyBorder="1" applyAlignment="1">
      <alignment horizontal="center" vertical="center"/>
    </xf>
    <xf numFmtId="0" fontId="31" fillId="2" borderId="9" xfId="1" applyFont="1" applyFill="1" applyBorder="1" applyAlignment="1">
      <alignment vertical="center"/>
    </xf>
    <xf numFmtId="3" fontId="30" fillId="0" borderId="6" xfId="1" applyNumberFormat="1" applyFont="1" applyBorder="1" applyAlignment="1">
      <alignment horizontal="center" vertical="center"/>
    </xf>
    <xf numFmtId="0" fontId="29" fillId="2" borderId="10" xfId="1" applyFont="1" applyFill="1" applyBorder="1" applyAlignment="1">
      <alignment vertical="center"/>
    </xf>
    <xf numFmtId="1" fontId="34" fillId="2" borderId="0" xfId="1" applyNumberFormat="1" applyFont="1" applyFill="1"/>
    <xf numFmtId="0" fontId="30" fillId="2" borderId="7" xfId="1" applyFont="1" applyFill="1" applyBorder="1" applyAlignment="1">
      <alignment vertical="center"/>
    </xf>
    <xf numFmtId="0" fontId="30" fillId="2" borderId="9" xfId="1" applyFont="1" applyFill="1" applyBorder="1" applyAlignment="1">
      <alignment vertical="center"/>
    </xf>
    <xf numFmtId="37" fontId="34" fillId="2" borderId="0" xfId="1" applyNumberFormat="1" applyFont="1" applyFill="1" applyAlignment="1">
      <alignment horizontal="center" vertical="center"/>
    </xf>
    <xf numFmtId="3" fontId="34" fillId="2" borderId="0" xfId="1" applyNumberFormat="1" applyFont="1" applyFill="1" applyAlignment="1">
      <alignment horizontal="center" vertical="center"/>
    </xf>
    <xf numFmtId="0" fontId="39" fillId="3" borderId="0" xfId="1" applyFont="1" applyFill="1"/>
    <xf numFmtId="0" fontId="40" fillId="3" borderId="0" xfId="1" applyFont="1" applyFill="1"/>
    <xf numFmtId="0" fontId="29" fillId="0" borderId="0" xfId="0" applyFont="1"/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4" fontId="31" fillId="2" borderId="8" xfId="1" applyNumberFormat="1" applyFont="1" applyFill="1" applyBorder="1" applyAlignment="1">
      <alignment horizontal="center" vertical="center"/>
    </xf>
    <xf numFmtId="4" fontId="29" fillId="0" borderId="0" xfId="0" applyNumberFormat="1" applyFont="1" applyAlignment="1">
      <alignment vertical="center"/>
    </xf>
    <xf numFmtId="4" fontId="29" fillId="0" borderId="0" xfId="0" applyNumberFormat="1" applyFont="1" applyAlignment="1">
      <alignment horizontal="center" vertical="center"/>
    </xf>
    <xf numFmtId="0" fontId="5" fillId="2" borderId="0" xfId="1" applyFont="1" applyFill="1" applyAlignment="1">
      <alignment vertical="center"/>
    </xf>
    <xf numFmtId="173" fontId="29" fillId="0" borderId="0" xfId="11" applyNumberFormat="1" applyFont="1"/>
    <xf numFmtId="39" fontId="13" fillId="2" borderId="8" xfId="2" applyNumberFormat="1" applyFont="1" applyFill="1" applyBorder="1" applyAlignment="1">
      <alignment horizontal="center" vertical="center"/>
    </xf>
    <xf numFmtId="0" fontId="11" fillId="2" borderId="9" xfId="2" applyFont="1" applyFill="1" applyBorder="1"/>
    <xf numFmtId="9" fontId="5" fillId="2" borderId="6" xfId="12" applyFont="1" applyFill="1" applyBorder="1" applyAlignment="1">
      <alignment horizontal="center" vertical="center"/>
    </xf>
    <xf numFmtId="14" fontId="30" fillId="0" borderId="0" xfId="0" applyNumberFormat="1" applyFont="1"/>
    <xf numFmtId="166" fontId="5" fillId="2" borderId="0" xfId="4" applyNumberFormat="1" applyFont="1" applyFill="1" applyBorder="1" applyAlignment="1">
      <alignment horizontal="center" vertical="center"/>
    </xf>
    <xf numFmtId="3" fontId="5" fillId="9" borderId="8" xfId="2" applyNumberFormat="1" applyFont="1" applyFill="1" applyBorder="1" applyAlignment="1">
      <alignment horizontal="center" vertical="center"/>
    </xf>
    <xf numFmtId="10" fontId="13" fillId="2" borderId="0" xfId="5" applyNumberFormat="1" applyFont="1" applyFill="1" applyBorder="1" applyAlignment="1">
      <alignment horizontal="center"/>
    </xf>
    <xf numFmtId="3" fontId="6" fillId="3" borderId="0" xfId="3" applyNumberFormat="1" applyFont="1" applyFill="1"/>
    <xf numFmtId="4" fontId="13" fillId="2" borderId="0" xfId="2" applyNumberFormat="1" applyFont="1" applyFill="1" applyAlignment="1">
      <alignment horizontal="center" vertical="center"/>
    </xf>
    <xf numFmtId="3" fontId="16" fillId="3" borderId="0" xfId="3" applyNumberFormat="1" applyFont="1" applyFill="1"/>
    <xf numFmtId="168" fontId="13" fillId="2" borderId="0" xfId="2" applyNumberFormat="1" applyFont="1" applyFill="1"/>
    <xf numFmtId="165" fontId="13" fillId="2" borderId="6" xfId="2" applyNumberFormat="1" applyFont="1" applyFill="1" applyBorder="1" applyAlignment="1">
      <alignment horizontal="center" vertical="center"/>
    </xf>
    <xf numFmtId="168" fontId="5" fillId="2" borderId="8" xfId="2" applyNumberFormat="1" applyFont="1" applyFill="1" applyBorder="1" applyAlignment="1">
      <alignment horizontal="center" vertical="center"/>
    </xf>
    <xf numFmtId="168" fontId="5" fillId="2" borderId="0" xfId="2" applyNumberFormat="1" applyFont="1" applyFill="1"/>
    <xf numFmtId="168" fontId="5" fillId="2" borderId="11" xfId="2" applyNumberFormat="1" applyFont="1" applyFill="1" applyBorder="1" applyAlignment="1">
      <alignment horizontal="center" vertical="center"/>
    </xf>
    <xf numFmtId="4" fontId="5" fillId="5" borderId="11" xfId="2" applyNumberFormat="1" applyFont="1" applyFill="1" applyBorder="1" applyAlignment="1">
      <alignment horizontal="center" vertical="center"/>
    </xf>
    <xf numFmtId="3" fontId="5" fillId="6" borderId="0" xfId="2" applyNumberFormat="1" applyFont="1" applyFill="1" applyAlignment="1">
      <alignment horizontal="center" vertical="center"/>
    </xf>
    <xf numFmtId="3" fontId="7" fillId="6" borderId="0" xfId="2" applyNumberFormat="1" applyFont="1" applyFill="1" applyAlignment="1">
      <alignment horizontal="center" vertical="center"/>
    </xf>
    <xf numFmtId="175" fontId="5" fillId="2" borderId="8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/>
    <xf numFmtId="174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/>
    </xf>
    <xf numFmtId="1" fontId="0" fillId="0" borderId="0" xfId="0" applyNumberFormat="1"/>
    <xf numFmtId="43" fontId="5" fillId="2" borderId="0" xfId="11" applyFont="1" applyFill="1" applyBorder="1" applyAlignment="1"/>
    <xf numFmtId="173" fontId="5" fillId="2" borderId="0" xfId="11" applyNumberFormat="1" applyFont="1" applyFill="1" applyBorder="1" applyAlignment="1"/>
    <xf numFmtId="175" fontId="5" fillId="2" borderId="0" xfId="2" applyNumberFormat="1" applyFont="1" applyFill="1"/>
    <xf numFmtId="172" fontId="5" fillId="2" borderId="0" xfId="2" applyNumberFormat="1" applyFont="1" applyFill="1"/>
    <xf numFmtId="4" fontId="0" fillId="0" borderId="0" xfId="0" applyNumberFormat="1"/>
    <xf numFmtId="169" fontId="6" fillId="3" borderId="0" xfId="3" applyNumberFormat="1" applyFont="1" applyFill="1"/>
    <xf numFmtId="168" fontId="6" fillId="3" borderId="0" xfId="3" applyNumberFormat="1" applyFont="1" applyFill="1"/>
    <xf numFmtId="9" fontId="5" fillId="2" borderId="0" xfId="12" applyFont="1" applyFill="1" applyBorder="1" applyAlignment="1"/>
    <xf numFmtId="43" fontId="6" fillId="3" borderId="0" xfId="3" applyNumberFormat="1" applyFont="1" applyFill="1"/>
    <xf numFmtId="9" fontId="6" fillId="3" borderId="0" xfId="12" applyFont="1" applyFill="1" applyAlignment="1">
      <alignment horizontal="center"/>
    </xf>
    <xf numFmtId="0" fontId="6" fillId="3" borderId="0" xfId="3" applyFont="1" applyFill="1" applyAlignment="1">
      <alignment horizontal="center"/>
    </xf>
    <xf numFmtId="43" fontId="5" fillId="2" borderId="0" xfId="2" applyNumberFormat="1" applyFont="1" applyFill="1"/>
    <xf numFmtId="9" fontId="6" fillId="0" borderId="0" xfId="12" applyFont="1" applyFill="1" applyAlignment="1">
      <alignment horizontal="center"/>
    </xf>
    <xf numFmtId="14" fontId="0" fillId="0" borderId="0" xfId="0" applyNumberFormat="1"/>
    <xf numFmtId="4" fontId="0" fillId="0" borderId="0" xfId="0" applyNumberFormat="1" applyAlignment="1">
      <alignment horizontal="center" vertical="center"/>
    </xf>
    <xf numFmtId="4" fontId="5" fillId="2" borderId="0" xfId="2" applyNumberFormat="1" applyFont="1" applyFill="1" applyAlignment="1">
      <alignment horizontal="center"/>
    </xf>
    <xf numFmtId="4" fontId="5" fillId="5" borderId="14" xfId="2" applyNumberFormat="1" applyFont="1" applyFill="1" applyBorder="1" applyAlignment="1">
      <alignment horizontal="center" vertical="center"/>
    </xf>
    <xf numFmtId="3" fontId="30" fillId="2" borderId="15" xfId="1" applyNumberFormat="1" applyFont="1" applyFill="1" applyBorder="1" applyAlignment="1">
      <alignment horizontal="center" vertical="center" wrapText="1"/>
    </xf>
    <xf numFmtId="176" fontId="5" fillId="2" borderId="0" xfId="2" applyNumberFormat="1" applyFont="1" applyFill="1"/>
    <xf numFmtId="37" fontId="13" fillId="0" borderId="6" xfId="2" applyNumberFormat="1" applyFont="1" applyBorder="1" applyAlignment="1">
      <alignment horizontal="center" vertical="center"/>
    </xf>
    <xf numFmtId="0" fontId="10" fillId="2" borderId="0" xfId="1" applyFont="1" applyFill="1" applyAlignment="1">
      <alignment horizontal="center"/>
    </xf>
    <xf numFmtId="3" fontId="43" fillId="2" borderId="5" xfId="1" applyNumberFormat="1" applyFont="1" applyFill="1" applyBorder="1" applyAlignment="1">
      <alignment horizontal="center" vertical="center"/>
    </xf>
    <xf numFmtId="164" fontId="43" fillId="2" borderId="2" xfId="1" applyNumberFormat="1" applyFont="1" applyFill="1" applyBorder="1" applyAlignment="1">
      <alignment horizontal="center" vertical="center"/>
    </xf>
    <xf numFmtId="0" fontId="43" fillId="2" borderId="7" xfId="1" applyFont="1" applyFill="1" applyBorder="1"/>
    <xf numFmtId="0" fontId="10" fillId="2" borderId="0" xfId="1" applyFont="1" applyFill="1" applyAlignment="1">
      <alignment horizontal="center" vertical="center"/>
    </xf>
    <xf numFmtId="3" fontId="44" fillId="2" borderId="8" xfId="1" applyNumberFormat="1" applyFont="1" applyFill="1" applyBorder="1" applyAlignment="1">
      <alignment horizontal="center" vertical="center"/>
    </xf>
    <xf numFmtId="0" fontId="10" fillId="2" borderId="10" xfId="1" applyFont="1" applyFill="1" applyBorder="1"/>
    <xf numFmtId="9" fontId="44" fillId="2" borderId="11" xfId="4" applyFont="1" applyFill="1" applyBorder="1" applyAlignment="1">
      <alignment horizontal="center" vertical="center"/>
    </xf>
    <xf numFmtId="0" fontId="45" fillId="2" borderId="0" xfId="1" applyFont="1" applyFill="1"/>
    <xf numFmtId="0" fontId="43" fillId="2" borderId="3" xfId="1" applyFont="1" applyFill="1" applyBorder="1" applyAlignment="1">
      <alignment horizontal="center" vertical="center"/>
    </xf>
    <xf numFmtId="3" fontId="44" fillId="2" borderId="8" xfId="4" applyNumberFormat="1" applyFont="1" applyFill="1" applyBorder="1" applyAlignment="1">
      <alignment horizontal="center" vertical="center"/>
    </xf>
    <xf numFmtId="0" fontId="43" fillId="2" borderId="9" xfId="1" applyFont="1" applyFill="1" applyBorder="1"/>
    <xf numFmtId="9" fontId="44" fillId="2" borderId="6" xfId="4" applyFont="1" applyFill="1" applyBorder="1" applyAlignment="1">
      <alignment horizontal="center" vertical="center"/>
    </xf>
    <xf numFmtId="9" fontId="43" fillId="2" borderId="6" xfId="4" applyFont="1" applyFill="1" applyBorder="1" applyAlignment="1">
      <alignment horizontal="center" vertical="center"/>
    </xf>
    <xf numFmtId="0" fontId="43" fillId="2" borderId="10" xfId="1" applyFont="1" applyFill="1" applyBorder="1"/>
    <xf numFmtId="9" fontId="46" fillId="2" borderId="0" xfId="4" applyFont="1" applyFill="1" applyBorder="1" applyAlignment="1">
      <alignment horizontal="center" vertical="center"/>
    </xf>
    <xf numFmtId="0" fontId="10" fillId="2" borderId="7" xfId="1" applyFont="1" applyFill="1" applyBorder="1"/>
    <xf numFmtId="37" fontId="44" fillId="2" borderId="8" xfId="1" applyNumberFormat="1" applyFont="1" applyFill="1" applyBorder="1" applyAlignment="1">
      <alignment horizontal="center" vertical="center"/>
    </xf>
    <xf numFmtId="37" fontId="44" fillId="2" borderId="11" xfId="1" applyNumberFormat="1" applyFont="1" applyFill="1" applyBorder="1" applyAlignment="1">
      <alignment horizontal="center" vertical="center"/>
    </xf>
    <xf numFmtId="3" fontId="3" fillId="2" borderId="0" xfId="1" applyNumberFormat="1" applyFont="1" applyFill="1" applyAlignment="1">
      <alignment horizontal="center" vertical="center"/>
    </xf>
    <xf numFmtId="9" fontId="44" fillId="2" borderId="8" xfId="4" applyFont="1" applyFill="1" applyBorder="1" applyAlignment="1">
      <alignment horizontal="center" vertical="center"/>
    </xf>
    <xf numFmtId="0" fontId="7" fillId="2" borderId="9" xfId="1" applyFont="1" applyFill="1" applyBorder="1"/>
    <xf numFmtId="37" fontId="7" fillId="2" borderId="6" xfId="1" applyNumberFormat="1" applyFont="1" applyFill="1" applyBorder="1" applyAlignment="1">
      <alignment horizontal="center" vertical="center"/>
    </xf>
    <xf numFmtId="0" fontId="7" fillId="2" borderId="10" xfId="1" applyFont="1" applyFill="1" applyBorder="1"/>
    <xf numFmtId="3" fontId="7" fillId="8" borderId="11" xfId="1" applyNumberFormat="1" applyFont="1" applyFill="1" applyBorder="1" applyAlignment="1">
      <alignment horizontal="center" vertical="center"/>
    </xf>
    <xf numFmtId="0" fontId="44" fillId="2" borderId="7" xfId="1" applyFont="1" applyFill="1" applyBorder="1" applyAlignment="1">
      <alignment horizontal="center" vertical="center"/>
    </xf>
    <xf numFmtId="3" fontId="47" fillId="2" borderId="8" xfId="1" applyNumberFormat="1" applyFont="1" applyFill="1" applyBorder="1" applyAlignment="1">
      <alignment horizontal="center" vertical="center"/>
    </xf>
    <xf numFmtId="37" fontId="47" fillId="2" borderId="6" xfId="1" applyNumberFormat="1" applyFont="1" applyFill="1" applyBorder="1" applyAlignment="1">
      <alignment horizontal="center" vertical="center"/>
    </xf>
    <xf numFmtId="39" fontId="44" fillId="2" borderId="6" xfId="1" applyNumberFormat="1" applyFont="1" applyFill="1" applyBorder="1" applyAlignment="1">
      <alignment horizontal="center" vertical="center"/>
    </xf>
    <xf numFmtId="39" fontId="7" fillId="2" borderId="6" xfId="1" applyNumberFormat="1" applyFont="1" applyFill="1" applyBorder="1" applyAlignment="1">
      <alignment horizontal="center" vertical="center"/>
    </xf>
    <xf numFmtId="39" fontId="44" fillId="2" borderId="11" xfId="1" applyNumberFormat="1" applyFont="1" applyFill="1" applyBorder="1" applyAlignment="1">
      <alignment horizontal="center" vertical="center"/>
    </xf>
    <xf numFmtId="37" fontId="44" fillId="2" borderId="6" xfId="1" applyNumberFormat="1" applyFont="1" applyFill="1" applyBorder="1" applyAlignment="1">
      <alignment horizontal="center" vertical="center"/>
    </xf>
    <xf numFmtId="39" fontId="47" fillId="2" borderId="0" xfId="1" applyNumberFormat="1" applyFont="1" applyFill="1" applyAlignment="1">
      <alignment horizontal="center" vertical="center"/>
    </xf>
    <xf numFmtId="0" fontId="43" fillId="2" borderId="7" xfId="1" applyFont="1" applyFill="1" applyBorder="1" applyAlignment="1">
      <alignment horizontal="center"/>
    </xf>
    <xf numFmtId="3" fontId="44" fillId="2" borderId="6" xfId="1" applyNumberFormat="1" applyFont="1" applyFill="1" applyBorder="1" applyAlignment="1">
      <alignment horizontal="center" vertical="center"/>
    </xf>
    <xf numFmtId="0" fontId="44" fillId="2" borderId="7" xfId="1" applyFont="1" applyFill="1" applyBorder="1" applyAlignment="1">
      <alignment horizontal="center"/>
    </xf>
    <xf numFmtId="3" fontId="10" fillId="2" borderId="0" xfId="1" applyNumberFormat="1" applyFont="1" applyFill="1" applyAlignment="1">
      <alignment horizontal="center" vertical="center"/>
    </xf>
    <xf numFmtId="3" fontId="47" fillId="2" borderId="8" xfId="4" applyNumberFormat="1" applyFont="1" applyFill="1" applyBorder="1" applyAlignment="1">
      <alignment horizontal="center" vertical="center"/>
    </xf>
    <xf numFmtId="3" fontId="47" fillId="0" borderId="6" xfId="4" applyNumberFormat="1" applyFont="1" applyFill="1" applyBorder="1" applyAlignment="1">
      <alignment horizontal="center" vertical="center"/>
    </xf>
    <xf numFmtId="3" fontId="47" fillId="2" borderId="6" xfId="4" applyNumberFormat="1" applyFont="1" applyFill="1" applyBorder="1" applyAlignment="1">
      <alignment horizontal="center" vertical="center"/>
    </xf>
    <xf numFmtId="4" fontId="43" fillId="2" borderId="11" xfId="1" applyNumberFormat="1" applyFont="1" applyFill="1" applyBorder="1" applyAlignment="1">
      <alignment horizontal="center" vertical="center"/>
    </xf>
    <xf numFmtId="0" fontId="43" fillId="2" borderId="0" xfId="1" applyFont="1" applyFill="1"/>
    <xf numFmtId="37" fontId="43" fillId="2" borderId="0" xfId="1" applyNumberFormat="1" applyFont="1" applyFill="1" applyAlignment="1">
      <alignment horizontal="center" vertical="center"/>
    </xf>
    <xf numFmtId="0" fontId="43" fillId="2" borderId="16" xfId="1" applyFont="1" applyFill="1" applyBorder="1" applyAlignment="1">
      <alignment vertical="center"/>
    </xf>
    <xf numFmtId="4" fontId="43" fillId="2" borderId="17" xfId="1" applyNumberFormat="1" applyFont="1" applyFill="1" applyBorder="1" applyAlignment="1">
      <alignment horizontal="center" vertical="center"/>
    </xf>
    <xf numFmtId="4" fontId="43" fillId="2" borderId="8" xfId="1" applyNumberFormat="1" applyFont="1" applyFill="1" applyBorder="1" applyAlignment="1">
      <alignment horizontal="center" vertical="center"/>
    </xf>
    <xf numFmtId="39" fontId="43" fillId="2" borderId="6" xfId="1" applyNumberFormat="1" applyFont="1" applyFill="1" applyBorder="1" applyAlignment="1">
      <alignment horizontal="center" vertical="center"/>
    </xf>
    <xf numFmtId="167" fontId="43" fillId="2" borderId="6" xfId="1" applyNumberFormat="1" applyFont="1" applyFill="1" applyBorder="1" applyAlignment="1">
      <alignment horizontal="center" vertical="center"/>
    </xf>
    <xf numFmtId="37" fontId="43" fillId="2" borderId="6" xfId="1" applyNumberFormat="1" applyFont="1" applyFill="1" applyBorder="1" applyAlignment="1">
      <alignment horizontal="center" vertical="center"/>
    </xf>
    <xf numFmtId="167" fontId="43" fillId="2" borderId="11" xfId="1" applyNumberFormat="1" applyFont="1" applyFill="1" applyBorder="1" applyAlignment="1">
      <alignment horizontal="center" vertical="center"/>
    </xf>
    <xf numFmtId="3" fontId="43" fillId="2" borderId="0" xfId="1" applyNumberFormat="1" applyFont="1" applyFill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44" fillId="2" borderId="7" xfId="1" applyFont="1" applyFill="1" applyBorder="1"/>
    <xf numFmtId="3" fontId="43" fillId="2" borderId="8" xfId="1" applyNumberFormat="1" applyFont="1" applyFill="1" applyBorder="1" applyAlignment="1">
      <alignment horizontal="center" vertical="center"/>
    </xf>
    <xf numFmtId="0" fontId="44" fillId="2" borderId="9" xfId="1" applyFont="1" applyFill="1" applyBorder="1"/>
    <xf numFmtId="3" fontId="43" fillId="2" borderId="6" xfId="1" applyNumberFormat="1" applyFont="1" applyFill="1" applyBorder="1" applyAlignment="1">
      <alignment horizontal="center" vertical="center"/>
    </xf>
    <xf numFmtId="37" fontId="43" fillId="2" borderId="11" xfId="1" applyNumberFormat="1" applyFont="1" applyFill="1" applyBorder="1" applyAlignment="1">
      <alignment horizontal="center" vertical="center"/>
    </xf>
    <xf numFmtId="0" fontId="44" fillId="2" borderId="7" xfId="1" applyFont="1" applyFill="1" applyBorder="1" applyAlignment="1">
      <alignment horizontal="left" vertical="center"/>
    </xf>
    <xf numFmtId="0" fontId="43" fillId="2" borderId="10" xfId="1" applyFont="1" applyFill="1" applyBorder="1" applyAlignment="1">
      <alignment horizontal="left" vertical="center"/>
    </xf>
    <xf numFmtId="0" fontId="44" fillId="2" borderId="7" xfId="1" applyFont="1" applyFill="1" applyBorder="1" applyAlignment="1">
      <alignment vertical="center"/>
    </xf>
    <xf numFmtId="3" fontId="43" fillId="7" borderId="8" xfId="1" applyNumberFormat="1" applyFont="1" applyFill="1" applyBorder="1" applyAlignment="1">
      <alignment horizontal="center" vertical="center"/>
    </xf>
    <xf numFmtId="0" fontId="43" fillId="2" borderId="10" xfId="1" applyFont="1" applyFill="1" applyBorder="1" applyAlignment="1">
      <alignment vertical="center"/>
    </xf>
    <xf numFmtId="9" fontId="43" fillId="2" borderId="8" xfId="4" applyFont="1" applyFill="1" applyBorder="1" applyAlignment="1">
      <alignment horizontal="center" vertical="center"/>
    </xf>
    <xf numFmtId="0" fontId="48" fillId="3" borderId="0" xfId="3" applyFont="1" applyFill="1"/>
    <xf numFmtId="0" fontId="49" fillId="3" borderId="0" xfId="3" applyFont="1" applyFill="1" applyAlignment="1">
      <alignment horizontal="center"/>
    </xf>
    <xf numFmtId="0" fontId="50" fillId="3" borderId="0" xfId="3" applyFont="1" applyFill="1"/>
    <xf numFmtId="4" fontId="3" fillId="2" borderId="0" xfId="1" applyNumberFormat="1" applyFont="1" applyFill="1"/>
    <xf numFmtId="9" fontId="3" fillId="2" borderId="0" xfId="12" applyFont="1" applyFill="1" applyBorder="1" applyAlignment="1"/>
    <xf numFmtId="39" fontId="44" fillId="5" borderId="6" xfId="1" applyNumberFormat="1" applyFont="1" applyFill="1" applyBorder="1" applyAlignment="1">
      <alignment horizontal="center" vertical="center"/>
    </xf>
    <xf numFmtId="39" fontId="7" fillId="5" borderId="6" xfId="1" applyNumberFormat="1" applyFont="1" applyFill="1" applyBorder="1" applyAlignment="1">
      <alignment horizontal="center" vertical="center"/>
    </xf>
    <xf numFmtId="0" fontId="30" fillId="5" borderId="10" xfId="1" applyFont="1" applyFill="1" applyBorder="1"/>
    <xf numFmtId="9" fontId="3" fillId="2" borderId="0" xfId="12" applyFont="1" applyFill="1" applyBorder="1" applyAlignment="1">
      <alignment horizontal="center" vertical="center"/>
    </xf>
    <xf numFmtId="3" fontId="3" fillId="2" borderId="0" xfId="1" applyNumberFormat="1" applyFont="1" applyFill="1"/>
    <xf numFmtId="2" fontId="29" fillId="0" borderId="0" xfId="0" applyNumberFormat="1" applyFont="1" applyAlignment="1">
      <alignment horizontal="center"/>
    </xf>
    <xf numFmtId="4" fontId="29" fillId="0" borderId="0" xfId="0" applyNumberFormat="1" applyFont="1" applyAlignment="1">
      <alignment horizontal="center"/>
    </xf>
    <xf numFmtId="0" fontId="29" fillId="0" borderId="21" xfId="0" applyFont="1" applyBorder="1" applyAlignment="1">
      <alignment vertical="center"/>
    </xf>
    <xf numFmtId="4" fontId="29" fillId="0" borderId="22" xfId="0" applyNumberFormat="1" applyFont="1" applyBorder="1" applyAlignment="1">
      <alignment horizontal="center" vertical="center"/>
    </xf>
    <xf numFmtId="4" fontId="29" fillId="0" borderId="22" xfId="0" applyNumberFormat="1" applyFont="1" applyBorder="1" applyAlignment="1">
      <alignment vertical="center"/>
    </xf>
    <xf numFmtId="2" fontId="29" fillId="0" borderId="22" xfId="0" applyNumberFormat="1" applyFont="1" applyBorder="1" applyAlignment="1">
      <alignment horizontal="center"/>
    </xf>
    <xf numFmtId="4" fontId="29" fillId="0" borderId="22" xfId="0" applyNumberFormat="1" applyFont="1" applyBorder="1" applyAlignment="1">
      <alignment horizontal="center"/>
    </xf>
    <xf numFmtId="0" fontId="29" fillId="0" borderId="22" xfId="0" applyFont="1" applyBorder="1"/>
    <xf numFmtId="0" fontId="29" fillId="0" borderId="23" xfId="0" applyFont="1" applyBorder="1" applyAlignment="1">
      <alignment vertical="center"/>
    </xf>
    <xf numFmtId="0" fontId="29" fillId="0" borderId="12" xfId="0" applyFont="1" applyBorder="1" applyAlignment="1">
      <alignment horizontal="center" vertical="center"/>
    </xf>
    <xf numFmtId="0" fontId="29" fillId="0" borderId="12" xfId="0" applyFont="1" applyBorder="1"/>
    <xf numFmtId="4" fontId="29" fillId="0" borderId="12" xfId="0" applyNumberFormat="1" applyFont="1" applyBorder="1" applyAlignment="1">
      <alignment horizontal="center"/>
    </xf>
    <xf numFmtId="4" fontId="29" fillId="0" borderId="24" xfId="0" applyNumberFormat="1" applyFont="1" applyBorder="1" applyAlignment="1">
      <alignment horizontal="center"/>
    </xf>
    <xf numFmtId="0" fontId="29" fillId="0" borderId="0" xfId="0" applyFont="1" applyAlignment="1">
      <alignment horizontal="left" vertical="center"/>
    </xf>
    <xf numFmtId="0" fontId="0" fillId="0" borderId="21" xfId="0" applyBorder="1"/>
    <xf numFmtId="0" fontId="0" fillId="0" borderId="22" xfId="0" applyBorder="1"/>
    <xf numFmtId="4" fontId="0" fillId="0" borderId="0" xfId="0" applyNumberFormat="1" applyAlignment="1">
      <alignment horizontal="center"/>
    </xf>
    <xf numFmtId="0" fontId="0" fillId="0" borderId="12" xfId="0" applyBorder="1"/>
    <xf numFmtId="4" fontId="0" fillId="0" borderId="12" xfId="0" applyNumberFormat="1" applyBorder="1" applyAlignment="1">
      <alignment horizontal="center"/>
    </xf>
    <xf numFmtId="0" fontId="0" fillId="0" borderId="24" xfId="0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4" fontId="0" fillId="0" borderId="22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4" fontId="0" fillId="0" borderId="22" xfId="0" applyNumberFormat="1" applyBorder="1" applyAlignment="1">
      <alignment horizontal="center" vertical="center"/>
    </xf>
    <xf numFmtId="4" fontId="0" fillId="0" borderId="22" xfId="0" applyNumberFormat="1" applyBorder="1" applyAlignment="1">
      <alignment horizontal="center"/>
    </xf>
    <xf numFmtId="0" fontId="0" fillId="0" borderId="23" xfId="0" applyBorder="1"/>
    <xf numFmtId="4" fontId="0" fillId="0" borderId="12" xfId="0" applyNumberFormat="1" applyBorder="1" applyAlignment="1">
      <alignment horizontal="center" vertical="center"/>
    </xf>
    <xf numFmtId="4" fontId="0" fillId="0" borderId="24" xfId="0" applyNumberFormat="1" applyBorder="1" applyAlignment="1">
      <alignment horizontal="center" vertical="center"/>
    </xf>
    <xf numFmtId="0" fontId="41" fillId="0" borderId="25" xfId="0" applyFont="1" applyBorder="1"/>
    <xf numFmtId="0" fontId="41" fillId="0" borderId="26" xfId="0" applyFont="1" applyBorder="1"/>
    <xf numFmtId="0" fontId="41" fillId="0" borderId="26" xfId="0" applyFont="1" applyBorder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1" fillId="0" borderId="18" xfId="0" applyFont="1" applyBorder="1"/>
    <xf numFmtId="0" fontId="41" fillId="0" borderId="19" xfId="0" applyFont="1" applyBorder="1"/>
    <xf numFmtId="0" fontId="41" fillId="0" borderId="19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41" fillId="0" borderId="0" xfId="0" applyFont="1"/>
    <xf numFmtId="0" fontId="0" fillId="0" borderId="28" xfId="0" applyBorder="1"/>
    <xf numFmtId="0" fontId="0" fillId="0" borderId="29" xfId="0" applyBorder="1"/>
    <xf numFmtId="0" fontId="0" fillId="0" borderId="30" xfId="0" applyBorder="1" applyAlignment="1">
      <alignment horizontal="center" vertical="center"/>
    </xf>
    <xf numFmtId="0" fontId="41" fillId="0" borderId="0" xfId="0" applyFont="1" applyAlignment="1">
      <alignment horizontal="center"/>
    </xf>
    <xf numFmtId="0" fontId="41" fillId="0" borderId="26" xfId="0" applyFont="1" applyBorder="1" applyAlignment="1">
      <alignment horizontal="center"/>
    </xf>
    <xf numFmtId="0" fontId="41" fillId="0" borderId="27" xfId="0" applyFont="1" applyBorder="1" applyAlignment="1">
      <alignment horizontal="center"/>
    </xf>
    <xf numFmtId="4" fontId="0" fillId="0" borderId="22" xfId="0" applyNumberFormat="1" applyBorder="1"/>
    <xf numFmtId="0" fontId="0" fillId="0" borderId="1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4" fontId="0" fillId="0" borderId="29" xfId="0" applyNumberFormat="1" applyBorder="1" applyAlignment="1">
      <alignment horizontal="center" vertical="center"/>
    </xf>
    <xf numFmtId="4" fontId="0" fillId="0" borderId="30" xfId="0" applyNumberFormat="1" applyBorder="1" applyAlignment="1">
      <alignment horizontal="center" vertical="center"/>
    </xf>
    <xf numFmtId="3" fontId="30" fillId="0" borderId="0" xfId="0" applyNumberFormat="1" applyFont="1" applyAlignment="1">
      <alignment vertical="center"/>
    </xf>
    <xf numFmtId="0" fontId="30" fillId="0" borderId="0" xfId="0" applyFont="1"/>
    <xf numFmtId="0" fontId="30" fillId="0" borderId="25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14" fontId="41" fillId="0" borderId="0" xfId="0" applyNumberFormat="1" applyFont="1"/>
    <xf numFmtId="14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/>
    </xf>
    <xf numFmtId="4" fontId="0" fillId="0" borderId="24" xfId="0" applyNumberFormat="1" applyBorder="1" applyAlignment="1">
      <alignment horizontal="center"/>
    </xf>
    <xf numFmtId="0" fontId="41" fillId="0" borderId="25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3" xfId="0" applyBorder="1" applyAlignment="1">
      <alignment vertical="center"/>
    </xf>
    <xf numFmtId="172" fontId="0" fillId="0" borderId="12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9" fontId="13" fillId="2" borderId="0" xfId="2" applyNumberFormat="1" applyFont="1" applyFill="1" applyAlignment="1">
      <alignment horizontal="center" vertical="center"/>
    </xf>
    <xf numFmtId="0" fontId="0" fillId="0" borderId="28" xfId="0" applyBorder="1" applyAlignment="1">
      <alignment vertical="center" wrapText="1"/>
    </xf>
    <xf numFmtId="174" fontId="0" fillId="0" borderId="0" xfId="0" applyNumberFormat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/>
    </xf>
    <xf numFmtId="2" fontId="0" fillId="0" borderId="12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39" fontId="0" fillId="0" borderId="0" xfId="0" applyNumberFormat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1" fillId="0" borderId="31" xfId="0" applyFont="1" applyBorder="1"/>
    <xf numFmtId="0" fontId="41" fillId="0" borderId="3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3" fontId="0" fillId="0" borderId="21" xfId="11" applyFont="1" applyBorder="1" applyAlignment="1">
      <alignment horizontal="center" vertical="center"/>
    </xf>
    <xf numFmtId="43" fontId="0" fillId="0" borderId="0" xfId="11" applyFont="1" applyBorder="1" applyAlignment="1">
      <alignment horizontal="center" vertical="center"/>
    </xf>
    <xf numFmtId="0" fontId="51" fillId="0" borderId="0" xfId="0" applyFont="1" applyAlignment="1">
      <alignment horizontal="center"/>
    </xf>
    <xf numFmtId="0" fontId="51" fillId="0" borderId="0" xfId="0" applyFont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  <xf numFmtId="0" fontId="51" fillId="0" borderId="19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1" fillId="0" borderId="34" xfId="0" applyFont="1" applyBorder="1" applyAlignment="1">
      <alignment horizontal="center" vertical="center"/>
    </xf>
    <xf numFmtId="0" fontId="41" fillId="0" borderId="35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0" fontId="51" fillId="0" borderId="37" xfId="0" applyFont="1" applyBorder="1" applyAlignment="1">
      <alignment horizontal="center" vertical="center"/>
    </xf>
    <xf numFmtId="0" fontId="41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4" fontId="0" fillId="0" borderId="21" xfId="0" applyNumberFormat="1" applyBorder="1" applyAlignment="1">
      <alignment horizontal="center" vertical="center"/>
    </xf>
    <xf numFmtId="0" fontId="53" fillId="0" borderId="0" xfId="0" applyFont="1"/>
    <xf numFmtId="0" fontId="53" fillId="0" borderId="0" xfId="0" applyFont="1" applyAlignment="1">
      <alignment horizontal="center" vertical="center"/>
    </xf>
    <xf numFmtId="1" fontId="53" fillId="0" borderId="21" xfId="0" applyNumberFormat="1" applyFont="1" applyBorder="1" applyAlignment="1">
      <alignment horizontal="center" vertical="center"/>
    </xf>
    <xf numFmtId="0" fontId="53" fillId="0" borderId="21" xfId="0" applyFont="1" applyBorder="1" applyAlignment="1">
      <alignment horizontal="center" vertical="center"/>
    </xf>
    <xf numFmtId="0" fontId="53" fillId="0" borderId="37" xfId="0" applyFont="1" applyBorder="1" applyAlignment="1">
      <alignment horizontal="center" vertical="center"/>
    </xf>
    <xf numFmtId="0" fontId="53" fillId="0" borderId="35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41" fillId="0" borderId="40" xfId="0" applyFont="1" applyBorder="1" applyAlignment="1">
      <alignment horizontal="center" vertical="center"/>
    </xf>
    <xf numFmtId="1" fontId="53" fillId="0" borderId="0" xfId="0" applyNumberFormat="1" applyFont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3" fillId="0" borderId="39" xfId="0" applyNumberFormat="1" applyFont="1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4" fontId="51" fillId="0" borderId="21" xfId="0" applyNumberFormat="1" applyFont="1" applyBorder="1" applyAlignment="1">
      <alignment horizontal="center" vertical="center"/>
    </xf>
    <xf numFmtId="2" fontId="51" fillId="0" borderId="39" xfId="0" applyNumberFormat="1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51" fillId="0" borderId="35" xfId="0" applyFont="1" applyBorder="1" applyAlignment="1">
      <alignment horizontal="center" vertical="center"/>
    </xf>
    <xf numFmtId="2" fontId="51" fillId="0" borderId="21" xfId="0" applyNumberFormat="1" applyFont="1" applyBorder="1" applyAlignment="1">
      <alignment horizontal="center" vertical="center"/>
    </xf>
    <xf numFmtId="0" fontId="51" fillId="0" borderId="0" xfId="0" applyFont="1" applyAlignment="1">
      <alignment vertical="center"/>
    </xf>
    <xf numFmtId="2" fontId="51" fillId="0" borderId="0" xfId="0" applyNumberFormat="1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3" fontId="0" fillId="0" borderId="39" xfId="0" applyNumberFormat="1" applyBorder="1" applyAlignment="1">
      <alignment horizontal="center" vertical="center"/>
    </xf>
    <xf numFmtId="0" fontId="51" fillId="0" borderId="39" xfId="0" applyFont="1" applyBorder="1" applyAlignment="1">
      <alignment horizontal="center" vertical="center"/>
    </xf>
    <xf numFmtId="43" fontId="0" fillId="0" borderId="39" xfId="11" applyFont="1" applyBorder="1" applyAlignment="1">
      <alignment horizontal="center" vertical="center"/>
    </xf>
    <xf numFmtId="43" fontId="53" fillId="0" borderId="21" xfId="11" applyFont="1" applyBorder="1" applyAlignment="1">
      <alignment horizontal="center" vertical="center"/>
    </xf>
    <xf numFmtId="43" fontId="53" fillId="0" borderId="0" xfId="11" applyFont="1" applyBorder="1" applyAlignment="1">
      <alignment horizontal="center" vertical="center"/>
    </xf>
    <xf numFmtId="43" fontId="53" fillId="0" borderId="39" xfId="11" applyFont="1" applyBorder="1" applyAlignment="1">
      <alignment horizontal="center" vertical="center"/>
    </xf>
    <xf numFmtId="4" fontId="0" fillId="0" borderId="39" xfId="0" applyNumberFormat="1" applyBorder="1" applyAlignment="1">
      <alignment horizontal="center" vertical="center"/>
    </xf>
    <xf numFmtId="4" fontId="53" fillId="0" borderId="0" xfId="0" applyNumberFormat="1" applyFont="1" applyAlignment="1">
      <alignment horizontal="center" vertical="center"/>
    </xf>
    <xf numFmtId="2" fontId="51" fillId="0" borderId="35" xfId="0" applyNumberFormat="1" applyFont="1" applyBorder="1" applyAlignment="1">
      <alignment horizontal="center" vertical="center"/>
    </xf>
    <xf numFmtId="4" fontId="0" fillId="0" borderId="35" xfId="0" applyNumberFormat="1" applyBorder="1" applyAlignment="1">
      <alignment horizontal="center" vertical="center"/>
    </xf>
    <xf numFmtId="1" fontId="53" fillId="0" borderId="35" xfId="0" applyNumberFormat="1" applyFon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0" fillId="0" borderId="36" xfId="0" applyNumberFormat="1" applyBorder="1" applyAlignment="1">
      <alignment horizontal="center" vertical="center"/>
    </xf>
    <xf numFmtId="2" fontId="42" fillId="0" borderId="0" xfId="0" applyNumberFormat="1" applyFont="1" applyAlignment="1">
      <alignment horizontal="center" vertical="center"/>
    </xf>
    <xf numFmtId="0" fontId="42" fillId="0" borderId="0" xfId="0" applyFont="1"/>
    <xf numFmtId="1" fontId="51" fillId="0" borderId="0" xfId="0" applyNumberFormat="1" applyFont="1" applyAlignment="1">
      <alignment vertical="center"/>
    </xf>
    <xf numFmtId="9" fontId="51" fillId="0" borderId="0" xfId="12" applyFont="1" applyAlignment="1">
      <alignment vertical="center"/>
    </xf>
    <xf numFmtId="0" fontId="22" fillId="2" borderId="0" xfId="1" applyFont="1" applyFill="1"/>
    <xf numFmtId="4" fontId="0" fillId="10" borderId="22" xfId="0" applyNumberFormat="1" applyFill="1" applyBorder="1"/>
    <xf numFmtId="9" fontId="7" fillId="2" borderId="0" xfId="12" applyFont="1" applyFill="1" applyBorder="1" applyAlignment="1"/>
    <xf numFmtId="1" fontId="54" fillId="0" borderId="21" xfId="0" applyNumberFormat="1" applyFont="1" applyBorder="1" applyAlignment="1">
      <alignment horizontal="center" vertical="center"/>
    </xf>
    <xf numFmtId="1" fontId="54" fillId="0" borderId="0" xfId="0" applyNumberFormat="1" applyFont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0" fontId="54" fillId="0" borderId="0" xfId="0" applyFont="1"/>
    <xf numFmtId="0" fontId="54" fillId="0" borderId="0" xfId="0" applyFont="1" applyAlignment="1">
      <alignment horizontal="center" vertical="center"/>
    </xf>
    <xf numFmtId="0" fontId="54" fillId="0" borderId="37" xfId="0" applyFont="1" applyBorder="1" applyAlignment="1">
      <alignment horizontal="center" vertical="center"/>
    </xf>
    <xf numFmtId="1" fontId="54" fillId="0" borderId="35" xfId="0" applyNumberFormat="1" applyFont="1" applyBorder="1" applyAlignment="1">
      <alignment horizontal="center" vertical="center"/>
    </xf>
    <xf numFmtId="172" fontId="0" fillId="0" borderId="23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2" fontId="41" fillId="0" borderId="21" xfId="0" applyNumberFormat="1" applyFont="1" applyBorder="1" applyAlignment="1">
      <alignment horizontal="center" vertical="center"/>
    </xf>
    <xf numFmtId="2" fontId="41" fillId="0" borderId="0" xfId="0" applyNumberFormat="1" applyFont="1" applyAlignment="1">
      <alignment horizontal="center" vertical="center"/>
    </xf>
    <xf numFmtId="2" fontId="41" fillId="0" borderId="39" xfId="0" applyNumberFormat="1" applyFont="1" applyBorder="1" applyAlignment="1">
      <alignment horizontal="center" vertical="center"/>
    </xf>
    <xf numFmtId="3" fontId="41" fillId="0" borderId="35" xfId="0" applyNumberFormat="1" applyFont="1" applyBorder="1" applyAlignment="1">
      <alignment horizontal="center" vertical="center"/>
    </xf>
    <xf numFmtId="4" fontId="41" fillId="0" borderId="21" xfId="0" applyNumberFormat="1" applyFont="1" applyBorder="1" applyAlignment="1">
      <alignment horizontal="center" vertical="center"/>
    </xf>
    <xf numFmtId="4" fontId="41" fillId="0" borderId="0" xfId="0" applyNumberFormat="1" applyFont="1" applyAlignment="1">
      <alignment horizontal="center" vertical="center"/>
    </xf>
    <xf numFmtId="3" fontId="53" fillId="0" borderId="21" xfId="0" applyNumberFormat="1" applyFont="1" applyBorder="1" applyAlignment="1">
      <alignment horizontal="center" vertical="center"/>
    </xf>
    <xf numFmtId="3" fontId="53" fillId="0" borderId="39" xfId="0" applyNumberFormat="1" applyFont="1" applyBorder="1" applyAlignment="1">
      <alignment horizontal="center" vertical="center"/>
    </xf>
    <xf numFmtId="1" fontId="41" fillId="0" borderId="21" xfId="0" applyNumberFormat="1" applyFont="1" applyBorder="1" applyAlignment="1">
      <alignment horizontal="center" vertical="center"/>
    </xf>
    <xf numFmtId="1" fontId="41" fillId="0" borderId="0" xfId="0" applyNumberFormat="1" applyFont="1" applyAlignment="1">
      <alignment horizontal="center" vertical="center"/>
    </xf>
    <xf numFmtId="1" fontId="41" fillId="0" borderId="39" xfId="0" applyNumberFormat="1" applyFont="1" applyBorder="1" applyAlignment="1">
      <alignment horizontal="center" vertical="center"/>
    </xf>
    <xf numFmtId="3" fontId="41" fillId="0" borderId="39" xfId="0" applyNumberFormat="1" applyFont="1" applyBorder="1" applyAlignment="1">
      <alignment horizontal="center" vertical="center"/>
    </xf>
    <xf numFmtId="3" fontId="51" fillId="0" borderId="21" xfId="0" applyNumberFormat="1" applyFont="1" applyBorder="1" applyAlignment="1">
      <alignment horizontal="center" vertical="center"/>
    </xf>
    <xf numFmtId="1" fontId="51" fillId="0" borderId="0" xfId="0" applyNumberFormat="1" applyFont="1" applyAlignment="1">
      <alignment horizontal="center" vertical="center"/>
    </xf>
    <xf numFmtId="1" fontId="51" fillId="0" borderId="39" xfId="0" applyNumberFormat="1" applyFont="1" applyBorder="1" applyAlignment="1">
      <alignment horizontal="center" vertical="center"/>
    </xf>
    <xf numFmtId="1" fontId="51" fillId="0" borderId="21" xfId="0" applyNumberFormat="1" applyFon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172" fontId="0" fillId="0" borderId="38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38" xfId="0" applyNumberFormat="1" applyBorder="1" applyAlignment="1">
      <alignment horizontal="center" vertical="center"/>
    </xf>
    <xf numFmtId="3" fontId="41" fillId="0" borderId="21" xfId="0" applyNumberFormat="1" applyFont="1" applyBorder="1" applyAlignment="1">
      <alignment horizontal="center" vertical="center"/>
    </xf>
    <xf numFmtId="3" fontId="41" fillId="0" borderId="0" xfId="0" applyNumberFormat="1" applyFont="1" applyAlignment="1">
      <alignment horizontal="center" vertical="center"/>
    </xf>
    <xf numFmtId="3" fontId="53" fillId="0" borderId="35" xfId="0" applyNumberFormat="1" applyFont="1" applyBorder="1" applyAlignment="1">
      <alignment horizontal="center" vertical="center"/>
    </xf>
    <xf numFmtId="1" fontId="0" fillId="0" borderId="39" xfId="11" applyNumberFormat="1" applyFont="1" applyBorder="1" applyAlignment="1">
      <alignment horizontal="center" vertical="center"/>
    </xf>
    <xf numFmtId="3" fontId="41" fillId="0" borderId="21" xfId="11" applyNumberFormat="1" applyFont="1" applyBorder="1" applyAlignment="1">
      <alignment horizontal="center" vertical="center"/>
    </xf>
    <xf numFmtId="1" fontId="51" fillId="0" borderId="37" xfId="0" applyNumberFormat="1" applyFont="1" applyBorder="1" applyAlignment="1">
      <alignment horizontal="center" vertical="center"/>
    </xf>
    <xf numFmtId="1" fontId="51" fillId="0" borderId="35" xfId="0" applyNumberFormat="1" applyFont="1" applyBorder="1" applyAlignment="1">
      <alignment horizontal="center" vertical="center"/>
    </xf>
    <xf numFmtId="3" fontId="53" fillId="0" borderId="37" xfId="0" applyNumberFormat="1" applyFont="1" applyBorder="1" applyAlignment="1">
      <alignment horizontal="center" vertical="center"/>
    </xf>
    <xf numFmtId="172" fontId="0" fillId="0" borderId="35" xfId="0" applyNumberFormat="1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/>
    </xf>
    <xf numFmtId="3" fontId="53" fillId="0" borderId="0" xfId="0" applyNumberFormat="1" applyFont="1"/>
    <xf numFmtId="0" fontId="0" fillId="0" borderId="42" xfId="0" applyBorder="1" applyAlignment="1">
      <alignment horizontal="center" vertical="center"/>
    </xf>
    <xf numFmtId="1" fontId="0" fillId="0" borderId="42" xfId="0" applyNumberFormat="1" applyBorder="1" applyAlignment="1">
      <alignment horizontal="center" vertical="center"/>
    </xf>
    <xf numFmtId="0" fontId="53" fillId="0" borderId="42" xfId="0" applyFont="1" applyBorder="1" applyAlignment="1">
      <alignment horizontal="center" vertical="center"/>
    </xf>
    <xf numFmtId="0" fontId="41" fillId="0" borderId="42" xfId="0" applyFont="1" applyBorder="1" applyAlignment="1">
      <alignment horizontal="center" vertical="center"/>
    </xf>
    <xf numFmtId="1" fontId="51" fillId="0" borderId="42" xfId="0" applyNumberFormat="1" applyFont="1" applyBorder="1" applyAlignment="1">
      <alignment horizontal="center" vertical="center"/>
    </xf>
    <xf numFmtId="3" fontId="53" fillId="0" borderId="42" xfId="0" applyNumberFormat="1" applyFont="1" applyBorder="1" applyAlignment="1">
      <alignment horizontal="center" vertical="center"/>
    </xf>
    <xf numFmtId="0" fontId="54" fillId="0" borderId="42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43" fontId="0" fillId="0" borderId="44" xfId="11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1" fontId="53" fillId="0" borderId="44" xfId="0" applyNumberFormat="1" applyFont="1" applyBorder="1" applyAlignment="1">
      <alignment horizontal="center" vertical="center"/>
    </xf>
    <xf numFmtId="43" fontId="41" fillId="0" borderId="44" xfId="11" applyFont="1" applyBorder="1" applyAlignment="1">
      <alignment horizontal="center" vertical="center"/>
    </xf>
    <xf numFmtId="2" fontId="41" fillId="0" borderId="44" xfId="0" applyNumberFormat="1" applyFont="1" applyBorder="1" applyAlignment="1">
      <alignment horizontal="center" vertical="center"/>
    </xf>
    <xf numFmtId="2" fontId="51" fillId="0" borderId="44" xfId="0" applyNumberFormat="1" applyFont="1" applyBorder="1" applyAlignment="1">
      <alignment horizontal="center" vertical="center"/>
    </xf>
    <xf numFmtId="1" fontId="54" fillId="0" borderId="44" xfId="0" applyNumberFormat="1" applyFont="1" applyBorder="1" applyAlignment="1">
      <alignment horizontal="center" vertical="center"/>
    </xf>
    <xf numFmtId="0" fontId="51" fillId="0" borderId="44" xfId="0" applyFont="1" applyBorder="1" applyAlignment="1">
      <alignment horizontal="center" vertical="center"/>
    </xf>
    <xf numFmtId="1" fontId="0" fillId="0" borderId="44" xfId="0" applyNumberFormat="1" applyBorder="1" applyAlignment="1">
      <alignment horizontal="center" vertical="center"/>
    </xf>
    <xf numFmtId="1" fontId="0" fillId="0" borderId="45" xfId="0" applyNumberFormat="1" applyBorder="1" applyAlignment="1">
      <alignment horizontal="center" vertical="center"/>
    </xf>
    <xf numFmtId="4" fontId="41" fillId="0" borderId="39" xfId="0" applyNumberFormat="1" applyFont="1" applyBorder="1" applyAlignment="1">
      <alignment horizontal="center" vertical="center"/>
    </xf>
    <xf numFmtId="0" fontId="41" fillId="0" borderId="43" xfId="0" applyFont="1" applyBorder="1" applyAlignment="1">
      <alignment horizontal="center" vertical="center"/>
    </xf>
    <xf numFmtId="3" fontId="0" fillId="0" borderId="21" xfId="11" applyNumberFormat="1" applyFont="1" applyBorder="1" applyAlignment="1">
      <alignment horizontal="center" vertical="center"/>
    </xf>
    <xf numFmtId="3" fontId="0" fillId="0" borderId="0" xfId="0" applyNumberFormat="1"/>
    <xf numFmtId="3" fontId="0" fillId="0" borderId="44" xfId="0" applyNumberFormat="1" applyBorder="1" applyAlignment="1">
      <alignment horizontal="center" vertical="center"/>
    </xf>
    <xf numFmtId="3" fontId="0" fillId="0" borderId="42" xfId="0" applyNumberFormat="1" applyBorder="1" applyAlignment="1">
      <alignment horizontal="center" vertical="center"/>
    </xf>
    <xf numFmtId="3" fontId="0" fillId="0" borderId="0" xfId="11" applyNumberFormat="1" applyFont="1" applyBorder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3" fontId="51" fillId="0" borderId="39" xfId="0" applyNumberFormat="1" applyFont="1" applyBorder="1" applyAlignment="1">
      <alignment horizontal="center" vertical="center"/>
    </xf>
    <xf numFmtId="3" fontId="51" fillId="0" borderId="0" xfId="0" applyNumberFormat="1" applyFont="1" applyAlignment="1">
      <alignment vertical="center"/>
    </xf>
    <xf numFmtId="3" fontId="51" fillId="0" borderId="42" xfId="0" applyNumberFormat="1" applyFont="1" applyBorder="1" applyAlignment="1">
      <alignment horizontal="center" vertical="center"/>
    </xf>
    <xf numFmtId="3" fontId="51" fillId="0" borderId="37" xfId="0" applyNumberFormat="1" applyFont="1" applyBorder="1" applyAlignment="1">
      <alignment horizontal="center" vertical="center"/>
    </xf>
    <xf numFmtId="3" fontId="51" fillId="0" borderId="35" xfId="0" applyNumberFormat="1" applyFont="1" applyBorder="1" applyAlignment="1">
      <alignment horizontal="center" vertical="center"/>
    </xf>
    <xf numFmtId="3" fontId="0" fillId="0" borderId="37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3" fontId="0" fillId="0" borderId="0" xfId="0" applyNumberFormat="1" applyAlignment="1">
      <alignment horizontal="center"/>
    </xf>
    <xf numFmtId="0" fontId="41" fillId="0" borderId="0" xfId="0" applyFont="1" applyAlignment="1">
      <alignment vertical="center"/>
    </xf>
    <xf numFmtId="3" fontId="53" fillId="0" borderId="44" xfId="0" applyNumberFormat="1" applyFont="1" applyBorder="1" applyAlignment="1">
      <alignment horizontal="center" vertical="center"/>
    </xf>
    <xf numFmtId="9" fontId="0" fillId="0" borderId="0" xfId="12" applyFont="1"/>
    <xf numFmtId="9" fontId="0" fillId="0" borderId="0" xfId="12" applyFont="1" applyAlignment="1">
      <alignment horizontal="center" vertical="center"/>
    </xf>
    <xf numFmtId="9" fontId="0" fillId="0" borderId="0" xfId="12" applyFont="1" applyBorder="1" applyAlignment="1">
      <alignment horizontal="center" vertical="center"/>
    </xf>
    <xf numFmtId="9" fontId="0" fillId="0" borderId="0" xfId="0" applyNumberFormat="1"/>
    <xf numFmtId="1" fontId="0" fillId="0" borderId="0" xfId="0" applyNumberFormat="1" applyAlignment="1">
      <alignment horizontal="center"/>
    </xf>
    <xf numFmtId="43" fontId="0" fillId="0" borderId="0" xfId="11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166" fontId="0" fillId="0" borderId="0" xfId="12" applyNumberFormat="1" applyFont="1" applyAlignment="1">
      <alignment horizontal="center"/>
    </xf>
    <xf numFmtId="166" fontId="0" fillId="0" borderId="0" xfId="12" applyNumberFormat="1" applyFont="1" applyAlignment="1">
      <alignment horizontal="center" vertic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50" fillId="0" borderId="0" xfId="0" applyFont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34" xfId="0" applyNumberFormat="1" applyBorder="1" applyAlignment="1">
      <alignment horizontal="center" vertical="center"/>
    </xf>
    <xf numFmtId="3" fontId="54" fillId="0" borderId="23" xfId="0" applyNumberFormat="1" applyFont="1" applyBorder="1" applyAlignment="1">
      <alignment horizontal="center" vertical="center"/>
    </xf>
    <xf numFmtId="3" fontId="54" fillId="0" borderId="12" xfId="0" applyNumberFormat="1" applyFont="1" applyBorder="1" applyAlignment="1">
      <alignment horizontal="center" vertical="center"/>
    </xf>
    <xf numFmtId="3" fontId="54" fillId="0" borderId="24" xfId="0" applyNumberFormat="1" applyFont="1" applyBorder="1" applyAlignment="1">
      <alignment horizontal="center" vertical="center"/>
    </xf>
    <xf numFmtId="3" fontId="54" fillId="0" borderId="0" xfId="0" applyNumberFormat="1" applyFont="1"/>
    <xf numFmtId="3" fontId="54" fillId="0" borderId="0" xfId="0" applyNumberFormat="1" applyFont="1" applyAlignment="1">
      <alignment horizontal="center" vertical="center"/>
    </xf>
    <xf numFmtId="3" fontId="54" fillId="0" borderId="36" xfId="0" applyNumberFormat="1" applyFont="1" applyBorder="1" applyAlignment="1">
      <alignment horizontal="center" vertical="center"/>
    </xf>
    <xf numFmtId="1" fontId="55" fillId="0" borderId="0" xfId="0" applyNumberFormat="1" applyFont="1" applyAlignment="1">
      <alignment horizontal="center" vertical="center"/>
    </xf>
    <xf numFmtId="2" fontId="55" fillId="0" borderId="0" xfId="0" applyNumberFormat="1" applyFont="1" applyAlignment="1">
      <alignment horizontal="center" vertical="center"/>
    </xf>
    <xf numFmtId="172" fontId="0" fillId="0" borderId="0" xfId="12" applyNumberFormat="1" applyFont="1" applyBorder="1" applyAlignment="1">
      <alignment horizontal="center" vertical="center"/>
    </xf>
    <xf numFmtId="173" fontId="54" fillId="0" borderId="0" xfId="11" applyNumberFormat="1" applyFont="1"/>
    <xf numFmtId="14" fontId="56" fillId="0" borderId="0" xfId="0" applyNumberFormat="1" applyFont="1"/>
    <xf numFmtId="173" fontId="0" fillId="0" borderId="0" xfId="11" applyNumberFormat="1" applyFont="1" applyAlignment="1">
      <alignment horizontal="center" vertical="center"/>
    </xf>
    <xf numFmtId="4" fontId="29" fillId="0" borderId="0" xfId="0" applyNumberFormat="1" applyFont="1"/>
    <xf numFmtId="173" fontId="0" fillId="0" borderId="0" xfId="11" applyNumberFormat="1" applyFont="1"/>
    <xf numFmtId="173" fontId="0" fillId="0" borderId="0" xfId="0" applyNumberFormat="1"/>
    <xf numFmtId="43" fontId="0" fillId="0" borderId="0" xfId="0" applyNumberFormat="1"/>
    <xf numFmtId="2" fontId="5" fillId="2" borderId="0" xfId="2" applyNumberFormat="1" applyFont="1" applyFill="1"/>
    <xf numFmtId="3" fontId="30" fillId="5" borderId="6" xfId="1" applyNumberFormat="1" applyFont="1" applyFill="1" applyBorder="1" applyAlignment="1">
      <alignment horizontal="center" vertical="center"/>
    </xf>
    <xf numFmtId="4" fontId="30" fillId="2" borderId="0" xfId="1" applyNumberFormat="1" applyFont="1" applyFill="1" applyAlignment="1">
      <alignment horizontal="center" vertical="center"/>
    </xf>
    <xf numFmtId="172" fontId="0" fillId="0" borderId="0" xfId="0" applyNumberFormat="1"/>
    <xf numFmtId="177" fontId="0" fillId="0" borderId="0" xfId="11" applyNumberFormat="1" applyFont="1" applyBorder="1"/>
    <xf numFmtId="9" fontId="0" fillId="0" borderId="0" xfId="12" applyFont="1" applyBorder="1"/>
    <xf numFmtId="0" fontId="0" fillId="0" borderId="49" xfId="0" applyBorder="1"/>
    <xf numFmtId="43" fontId="0" fillId="0" borderId="50" xfId="0" applyNumberFormat="1" applyBorder="1"/>
    <xf numFmtId="173" fontId="0" fillId="0" borderId="50" xfId="11" applyNumberFormat="1" applyFont="1" applyBorder="1"/>
    <xf numFmtId="173" fontId="0" fillId="0" borderId="50" xfId="0" applyNumberFormat="1" applyBorder="1"/>
    <xf numFmtId="0" fontId="0" fillId="0" borderId="52" xfId="0" applyBorder="1"/>
    <xf numFmtId="0" fontId="0" fillId="0" borderId="59" xfId="0" applyBorder="1" applyAlignment="1">
      <alignment vertical="center"/>
    </xf>
    <xf numFmtId="0" fontId="0" fillId="0" borderId="53" xfId="0" applyBorder="1" applyAlignment="1">
      <alignment horizontal="center" vertical="center"/>
    </xf>
    <xf numFmtId="0" fontId="58" fillId="0" borderId="53" xfId="0" applyFont="1" applyBorder="1" applyAlignment="1">
      <alignment horizontal="center" vertical="center"/>
    </xf>
    <xf numFmtId="0" fontId="41" fillId="0" borderId="46" xfId="0" applyFont="1" applyBorder="1" applyAlignment="1">
      <alignment horizontal="center" vertical="center"/>
    </xf>
    <xf numFmtId="0" fontId="41" fillId="0" borderId="63" xfId="0" applyFont="1" applyBorder="1" applyAlignment="1">
      <alignment horizontal="center" vertical="center"/>
    </xf>
    <xf numFmtId="173" fontId="41" fillId="0" borderId="47" xfId="0" applyNumberFormat="1" applyFont="1" applyBorder="1"/>
    <xf numFmtId="172" fontId="41" fillId="0" borderId="47" xfId="0" applyNumberFormat="1" applyFont="1" applyBorder="1"/>
    <xf numFmtId="0" fontId="0" fillId="0" borderId="64" xfId="0" applyBorder="1"/>
    <xf numFmtId="0" fontId="41" fillId="0" borderId="51" xfId="0" applyFont="1" applyBorder="1"/>
    <xf numFmtId="0" fontId="41" fillId="0" borderId="66" xfId="0" applyFont="1" applyBorder="1" applyAlignment="1">
      <alignment horizontal="center" vertical="center"/>
    </xf>
    <xf numFmtId="0" fontId="41" fillId="12" borderId="68" xfId="0" applyFont="1" applyFill="1" applyBorder="1" applyAlignment="1">
      <alignment horizontal="center" vertical="center"/>
    </xf>
    <xf numFmtId="0" fontId="0" fillId="0" borderId="69" xfId="0" applyBorder="1"/>
    <xf numFmtId="3" fontId="0" fillId="0" borderId="69" xfId="0" applyNumberFormat="1" applyBorder="1"/>
    <xf numFmtId="4" fontId="0" fillId="0" borderId="69" xfId="0" applyNumberFormat="1" applyBorder="1"/>
    <xf numFmtId="172" fontId="0" fillId="0" borderId="69" xfId="0" applyNumberFormat="1" applyBorder="1"/>
    <xf numFmtId="173" fontId="0" fillId="0" borderId="69" xfId="11" applyNumberFormat="1" applyFont="1" applyBorder="1"/>
    <xf numFmtId="9" fontId="0" fillId="0" borderId="69" xfId="0" applyNumberFormat="1" applyBorder="1"/>
    <xf numFmtId="177" fontId="0" fillId="0" borderId="69" xfId="11" applyNumberFormat="1" applyFont="1" applyBorder="1"/>
    <xf numFmtId="9" fontId="0" fillId="0" borderId="69" xfId="12" applyFont="1" applyBorder="1"/>
    <xf numFmtId="2" fontId="0" fillId="0" borderId="69" xfId="0" applyNumberFormat="1" applyBorder="1"/>
    <xf numFmtId="43" fontId="41" fillId="0" borderId="68" xfId="0" applyNumberFormat="1" applyFont="1" applyBorder="1"/>
    <xf numFmtId="2" fontId="41" fillId="0" borderId="68" xfId="0" applyNumberFormat="1" applyFont="1" applyBorder="1"/>
    <xf numFmtId="173" fontId="41" fillId="0" borderId="67" xfId="0" applyNumberFormat="1" applyFont="1" applyBorder="1"/>
    <xf numFmtId="0" fontId="41" fillId="12" borderId="54" xfId="0" applyFont="1" applyFill="1" applyBorder="1" applyAlignment="1">
      <alignment horizontal="center" vertical="center"/>
    </xf>
    <xf numFmtId="43" fontId="0" fillId="0" borderId="69" xfId="11" applyFont="1" applyBorder="1"/>
    <xf numFmtId="2" fontId="0" fillId="13" borderId="69" xfId="0" applyNumberFormat="1" applyFill="1" applyBorder="1"/>
    <xf numFmtId="43" fontId="0" fillId="13" borderId="69" xfId="11" applyFont="1" applyFill="1" applyBorder="1"/>
    <xf numFmtId="0" fontId="59" fillId="0" borderId="0" xfId="0" applyFont="1"/>
    <xf numFmtId="0" fontId="41" fillId="0" borderId="61" xfId="0" applyFont="1" applyBorder="1"/>
    <xf numFmtId="0" fontId="41" fillId="0" borderId="71" xfId="0" applyFont="1" applyBorder="1" applyAlignment="1">
      <alignment horizontal="center" vertical="center"/>
    </xf>
    <xf numFmtId="43" fontId="41" fillId="0" borderId="54" xfId="0" applyNumberFormat="1" applyFont="1" applyBorder="1"/>
    <xf numFmtId="0" fontId="58" fillId="0" borderId="0" xfId="0" applyFont="1" applyAlignment="1">
      <alignment horizontal="center" vertical="center"/>
    </xf>
    <xf numFmtId="0" fontId="41" fillId="0" borderId="69" xfId="0" applyFont="1" applyBorder="1" applyAlignment="1">
      <alignment horizontal="center" vertical="center"/>
    </xf>
    <xf numFmtId="0" fontId="41" fillId="0" borderId="49" xfId="0" applyFont="1" applyBorder="1" applyAlignment="1">
      <alignment horizontal="center" vertical="center"/>
    </xf>
    <xf numFmtId="0" fontId="41" fillId="11" borderId="25" xfId="0" applyFont="1" applyFill="1" applyBorder="1" applyAlignment="1">
      <alignment horizontal="center"/>
    </xf>
    <xf numFmtId="9" fontId="0" fillId="0" borderId="0" xfId="12" applyFont="1" applyAlignment="1">
      <alignment horizontal="center"/>
    </xf>
    <xf numFmtId="0" fontId="61" fillId="0" borderId="0" xfId="0" applyFont="1"/>
    <xf numFmtId="0" fontId="62" fillId="0" borderId="0" xfId="0" applyFont="1"/>
    <xf numFmtId="1" fontId="61" fillId="0" borderId="0" xfId="0" applyNumberFormat="1" applyFont="1"/>
    <xf numFmtId="9" fontId="61" fillId="0" borderId="0" xfId="12" applyFont="1"/>
    <xf numFmtId="9" fontId="61" fillId="0" borderId="0" xfId="0" applyNumberFormat="1" applyFont="1"/>
    <xf numFmtId="4" fontId="0" fillId="10" borderId="0" xfId="0" applyNumberFormat="1" applyFill="1"/>
    <xf numFmtId="173" fontId="63" fillId="0" borderId="21" xfId="11" applyNumberFormat="1" applyFont="1" applyBorder="1" applyAlignment="1">
      <alignment horizontal="center"/>
    </xf>
    <xf numFmtId="173" fontId="63" fillId="0" borderId="0" xfId="0" applyNumberFormat="1" applyFont="1" applyAlignment="1">
      <alignment horizontal="center"/>
    </xf>
    <xf numFmtId="173" fontId="63" fillId="0" borderId="39" xfId="0" applyNumberFormat="1" applyFont="1" applyBorder="1" applyAlignment="1">
      <alignment horizontal="center"/>
    </xf>
    <xf numFmtId="173" fontId="63" fillId="0" borderId="21" xfId="0" applyNumberFormat="1" applyFont="1" applyBorder="1" applyAlignment="1">
      <alignment horizontal="center"/>
    </xf>
    <xf numFmtId="173" fontId="63" fillId="0" borderId="44" xfId="0" applyNumberFormat="1" applyFont="1" applyBorder="1" applyAlignment="1">
      <alignment horizontal="center"/>
    </xf>
    <xf numFmtId="173" fontId="63" fillId="0" borderId="37" xfId="0" applyNumberFormat="1" applyFont="1" applyBorder="1" applyAlignment="1">
      <alignment horizontal="center"/>
    </xf>
    <xf numFmtId="173" fontId="63" fillId="0" borderId="35" xfId="0" applyNumberFormat="1" applyFont="1" applyBorder="1" applyAlignment="1">
      <alignment horizontal="center"/>
    </xf>
    <xf numFmtId="0" fontId="0" fillId="0" borderId="49" xfId="0" applyBorder="1" applyAlignment="1">
      <alignment horizontal="center" vertical="center"/>
    </xf>
    <xf numFmtId="3" fontId="0" fillId="0" borderId="49" xfId="0" applyNumberFormat="1" applyBorder="1" applyAlignment="1">
      <alignment horizontal="center" vertical="center"/>
    </xf>
    <xf numFmtId="3" fontId="0" fillId="0" borderId="83" xfId="0" applyNumberFormat="1" applyBorder="1" applyAlignment="1">
      <alignment horizontal="center" vertical="center"/>
    </xf>
    <xf numFmtId="1" fontId="0" fillId="0" borderId="49" xfId="0" applyNumberFormat="1" applyBorder="1" applyAlignment="1">
      <alignment horizontal="center" vertical="center"/>
    </xf>
    <xf numFmtId="3" fontId="0" fillId="0" borderId="89" xfId="0" applyNumberFormat="1" applyBorder="1" applyAlignment="1">
      <alignment horizontal="center" vertical="center"/>
    </xf>
    <xf numFmtId="3" fontId="0" fillId="0" borderId="90" xfId="0" applyNumberFormat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166" fontId="0" fillId="0" borderId="49" xfId="12" applyNumberFormat="1" applyFont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166" fontId="0" fillId="0" borderId="49" xfId="0" applyNumberFormat="1" applyBorder="1" applyAlignment="1">
      <alignment horizontal="center" vertical="center"/>
    </xf>
    <xf numFmtId="9" fontId="0" fillId="0" borderId="49" xfId="0" applyNumberFormat="1" applyBorder="1" applyAlignment="1">
      <alignment horizontal="center" vertical="center"/>
    </xf>
    <xf numFmtId="0" fontId="51" fillId="0" borderId="92" xfId="0" applyFont="1" applyBorder="1" applyAlignment="1">
      <alignment horizontal="center" vertical="center"/>
    </xf>
    <xf numFmtId="0" fontId="51" fillId="0" borderId="0" xfId="0" applyFont="1"/>
    <xf numFmtId="3" fontId="51" fillId="0" borderId="91" xfId="0" applyNumberFormat="1" applyFont="1" applyBorder="1" applyAlignment="1">
      <alignment horizontal="center" vertical="center"/>
    </xf>
    <xf numFmtId="3" fontId="51" fillId="0" borderId="93" xfId="0" applyNumberFormat="1" applyFont="1" applyBorder="1" applyAlignment="1">
      <alignment horizontal="center" vertical="center"/>
    </xf>
    <xf numFmtId="3" fontId="51" fillId="0" borderId="81" xfId="0" applyNumberFormat="1" applyFont="1" applyBorder="1" applyAlignment="1">
      <alignment horizontal="center" vertical="center"/>
    </xf>
    <xf numFmtId="3" fontId="51" fillId="0" borderId="87" xfId="0" applyNumberFormat="1" applyFont="1" applyBorder="1" applyAlignment="1">
      <alignment horizontal="center" vertical="center"/>
    </xf>
    <xf numFmtId="0" fontId="0" fillId="0" borderId="49" xfId="0" applyBorder="1" applyAlignment="1">
      <alignment vertical="center"/>
    </xf>
    <xf numFmtId="0" fontId="51" fillId="0" borderId="91" xfId="0" applyFont="1" applyBorder="1" applyAlignment="1">
      <alignment vertical="center"/>
    </xf>
    <xf numFmtId="0" fontId="51" fillId="0" borderId="94" xfId="0" applyFont="1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51" fillId="12" borderId="55" xfId="0" applyFont="1" applyFill="1" applyBorder="1" applyAlignment="1">
      <alignment horizontal="center" vertical="center"/>
    </xf>
    <xf numFmtId="0" fontId="51" fillId="12" borderId="94" xfId="0" applyFont="1" applyFill="1" applyBorder="1" applyAlignment="1">
      <alignment horizontal="center" vertical="center"/>
    </xf>
    <xf numFmtId="0" fontId="0" fillId="0" borderId="83" xfId="0" applyBorder="1" applyAlignment="1">
      <alignment vertical="center"/>
    </xf>
    <xf numFmtId="0" fontId="41" fillId="0" borderId="49" xfId="0" applyFont="1" applyBorder="1" applyAlignment="1">
      <alignment vertical="center"/>
    </xf>
    <xf numFmtId="166" fontId="0" fillId="0" borderId="89" xfId="0" applyNumberFormat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1" fontId="0" fillId="0" borderId="89" xfId="0" applyNumberFormat="1" applyBorder="1" applyAlignment="1">
      <alignment horizontal="center" vertical="center"/>
    </xf>
    <xf numFmtId="9" fontId="0" fillId="0" borderId="89" xfId="0" applyNumberFormat="1" applyBorder="1" applyAlignment="1">
      <alignment horizontal="center" vertical="center"/>
    </xf>
    <xf numFmtId="0" fontId="41" fillId="0" borderId="85" xfId="0" applyFont="1" applyBorder="1" applyAlignment="1">
      <alignment horizontal="center" vertical="center"/>
    </xf>
    <xf numFmtId="3" fontId="41" fillId="0" borderId="49" xfId="0" applyNumberFormat="1" applyFont="1" applyBorder="1" applyAlignment="1">
      <alignment horizontal="center" vertical="center"/>
    </xf>
    <xf numFmtId="3" fontId="41" fillId="0" borderId="89" xfId="0" applyNumberFormat="1" applyFont="1" applyBorder="1" applyAlignment="1">
      <alignment horizontal="center" vertical="center"/>
    </xf>
    <xf numFmtId="3" fontId="51" fillId="0" borderId="55" xfId="0" applyNumberFormat="1" applyFont="1" applyBorder="1" applyAlignment="1">
      <alignment horizontal="center" vertical="center"/>
    </xf>
    <xf numFmtId="3" fontId="51" fillId="0" borderId="100" xfId="0" applyNumberFormat="1" applyFont="1" applyBorder="1" applyAlignment="1">
      <alignment horizontal="center" vertical="center"/>
    </xf>
    <xf numFmtId="172" fontId="0" fillId="0" borderId="49" xfId="0" applyNumberFormat="1" applyBorder="1" applyAlignment="1">
      <alignment horizontal="center" vertical="center"/>
    </xf>
    <xf numFmtId="172" fontId="0" fillId="0" borderId="89" xfId="0" applyNumberFormat="1" applyBorder="1" applyAlignment="1">
      <alignment horizontal="center" vertical="center"/>
    </xf>
    <xf numFmtId="0" fontId="0" fillId="0" borderId="91" xfId="0" applyBorder="1" applyAlignment="1">
      <alignment vertical="center"/>
    </xf>
    <xf numFmtId="0" fontId="0" fillId="0" borderId="92" xfId="0" applyBorder="1" applyAlignment="1">
      <alignment horizontal="center" vertical="center"/>
    </xf>
    <xf numFmtId="165" fontId="0" fillId="0" borderId="91" xfId="0" applyNumberFormat="1" applyBorder="1" applyAlignment="1">
      <alignment horizontal="center" vertical="center"/>
    </xf>
    <xf numFmtId="165" fontId="0" fillId="0" borderId="93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0" fontId="51" fillId="12" borderId="91" xfId="0" applyFont="1" applyFill="1" applyBorder="1" applyAlignment="1">
      <alignment horizontal="center" vertical="center"/>
    </xf>
    <xf numFmtId="0" fontId="51" fillId="12" borderId="93" xfId="0" applyFont="1" applyFill="1" applyBorder="1" applyAlignment="1">
      <alignment horizontal="center" vertical="center"/>
    </xf>
    <xf numFmtId="0" fontId="51" fillId="0" borderId="25" xfId="0" applyFont="1" applyBorder="1" applyAlignment="1">
      <alignment vertical="center"/>
    </xf>
    <xf numFmtId="0" fontId="51" fillId="0" borderId="97" xfId="0" applyFont="1" applyBorder="1" applyAlignment="1">
      <alignment horizontal="center" vertical="center"/>
    </xf>
    <xf numFmtId="3" fontId="51" fillId="0" borderId="25" xfId="0" applyNumberFormat="1" applyFont="1" applyBorder="1" applyAlignment="1">
      <alignment horizontal="center" vertical="center"/>
    </xf>
    <xf numFmtId="3" fontId="51" fillId="0" borderId="101" xfId="0" applyNumberFormat="1" applyFont="1" applyBorder="1" applyAlignment="1">
      <alignment horizontal="center" vertical="center"/>
    </xf>
    <xf numFmtId="43" fontId="0" fillId="0" borderId="0" xfId="11" applyFont="1"/>
    <xf numFmtId="173" fontId="0" fillId="0" borderId="0" xfId="11" applyNumberFormat="1" applyFont="1" applyFill="1"/>
    <xf numFmtId="0" fontId="0" fillId="0" borderId="51" xfId="0" applyBorder="1"/>
    <xf numFmtId="0" fontId="0" fillId="0" borderId="79" xfId="0" applyBorder="1"/>
    <xf numFmtId="0" fontId="0" fillId="0" borderId="78" xfId="0" applyBorder="1"/>
    <xf numFmtId="43" fontId="0" fillId="0" borderId="79" xfId="11" applyFont="1" applyBorder="1"/>
    <xf numFmtId="2" fontId="0" fillId="0" borderId="79" xfId="0" applyNumberFormat="1" applyBorder="1"/>
    <xf numFmtId="43" fontId="0" fillId="0" borderId="78" xfId="0" applyNumberFormat="1" applyBorder="1"/>
    <xf numFmtId="0" fontId="0" fillId="0" borderId="74" xfId="0" applyBorder="1"/>
    <xf numFmtId="0" fontId="0" fillId="0" borderId="80" xfId="0" applyBorder="1"/>
    <xf numFmtId="2" fontId="0" fillId="0" borderId="80" xfId="0" applyNumberFormat="1" applyBorder="1"/>
    <xf numFmtId="43" fontId="0" fillId="0" borderId="72" xfId="0" applyNumberFormat="1" applyBorder="1"/>
    <xf numFmtId="0" fontId="0" fillId="0" borderId="104" xfId="0" applyBorder="1"/>
    <xf numFmtId="0" fontId="0" fillId="0" borderId="105" xfId="0" applyBorder="1"/>
    <xf numFmtId="0" fontId="0" fillId="0" borderId="60" xfId="0" applyBorder="1"/>
    <xf numFmtId="0" fontId="0" fillId="0" borderId="106" xfId="0" applyBorder="1"/>
    <xf numFmtId="0" fontId="0" fillId="0" borderId="107" xfId="0" applyBorder="1"/>
    <xf numFmtId="0" fontId="0" fillId="0" borderId="73" xfId="0" applyBorder="1"/>
    <xf numFmtId="0" fontId="0" fillId="0" borderId="103" xfId="0" applyBorder="1"/>
    <xf numFmtId="0" fontId="0" fillId="0" borderId="72" xfId="0" applyBorder="1"/>
    <xf numFmtId="3" fontId="0" fillId="0" borderId="89" xfId="0" applyNumberFormat="1" applyBorder="1" applyAlignment="1">
      <alignment vertical="center"/>
    </xf>
    <xf numFmtId="173" fontId="0" fillId="0" borderId="0" xfId="11" applyNumberFormat="1" applyFont="1" applyAlignment="1">
      <alignment vertical="center"/>
    </xf>
    <xf numFmtId="3" fontId="42" fillId="0" borderId="89" xfId="0" applyNumberFormat="1" applyFont="1" applyBorder="1" applyAlignment="1">
      <alignment horizontal="center" vertical="center"/>
    </xf>
    <xf numFmtId="3" fontId="64" fillId="0" borderId="93" xfId="0" applyNumberFormat="1" applyFont="1" applyBorder="1" applyAlignment="1">
      <alignment horizontal="center" vertical="center"/>
    </xf>
    <xf numFmtId="173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165" fontId="0" fillId="0" borderId="89" xfId="0" applyNumberFormat="1" applyBorder="1" applyAlignment="1">
      <alignment horizontal="center" vertical="center"/>
    </xf>
    <xf numFmtId="3" fontId="41" fillId="0" borderId="0" xfId="0" applyNumberFormat="1" applyFont="1"/>
    <xf numFmtId="0" fontId="0" fillId="0" borderId="49" xfId="0" applyBorder="1" applyAlignment="1">
      <alignment horizontal="left" vertical="center"/>
    </xf>
    <xf numFmtId="0" fontId="0" fillId="0" borderId="85" xfId="0" applyBorder="1" applyAlignment="1">
      <alignment horizontal="left" vertical="center"/>
    </xf>
    <xf numFmtId="0" fontId="51" fillId="0" borderId="91" xfId="0" applyFont="1" applyBorder="1" applyAlignment="1">
      <alignment horizontal="left" vertical="center"/>
    </xf>
    <xf numFmtId="0" fontId="51" fillId="0" borderId="92" xfId="0" applyFont="1" applyBorder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94" xfId="0" applyFont="1" applyBorder="1" applyAlignment="1">
      <alignment horizontal="left" vertical="center"/>
    </xf>
    <xf numFmtId="0" fontId="0" fillId="0" borderId="77" xfId="0" applyBorder="1"/>
    <xf numFmtId="177" fontId="0" fillId="0" borderId="53" xfId="11" applyNumberFormat="1" applyFont="1" applyBorder="1" applyAlignment="1">
      <alignment horizontal="center" vertical="center"/>
    </xf>
    <xf numFmtId="173" fontId="0" fillId="0" borderId="53" xfId="11" applyNumberFormat="1" applyFont="1" applyBorder="1" applyAlignment="1">
      <alignment horizontal="center" vertical="center"/>
    </xf>
    <xf numFmtId="0" fontId="0" fillId="0" borderId="77" xfId="0" applyBorder="1" applyAlignment="1">
      <alignment horizontal="left" vertical="center"/>
    </xf>
    <xf numFmtId="43" fontId="0" fillId="0" borderId="53" xfId="11" applyFont="1" applyBorder="1" applyAlignment="1">
      <alignment horizontal="center" vertical="center"/>
    </xf>
    <xf numFmtId="0" fontId="0" fillId="0" borderId="65" xfId="0" applyBorder="1" applyAlignment="1">
      <alignment horizontal="left" vertical="center"/>
    </xf>
    <xf numFmtId="178" fontId="0" fillId="0" borderId="108" xfId="11" applyNumberFormat="1" applyFont="1" applyBorder="1" applyAlignment="1">
      <alignment horizontal="center" vertical="center"/>
    </xf>
    <xf numFmtId="0" fontId="0" fillId="0" borderId="53" xfId="0" applyBorder="1" applyAlignment="1">
      <alignment horizontal="right" vertical="center"/>
    </xf>
    <xf numFmtId="43" fontId="0" fillId="0" borderId="53" xfId="0" applyNumberFormat="1" applyBorder="1" applyAlignment="1">
      <alignment horizontal="left" vertical="center"/>
    </xf>
    <xf numFmtId="178" fontId="0" fillId="0" borderId="53" xfId="0" applyNumberFormat="1" applyBorder="1"/>
    <xf numFmtId="172" fontId="0" fillId="0" borderId="53" xfId="0" applyNumberFormat="1" applyBorder="1"/>
    <xf numFmtId="173" fontId="0" fillId="0" borderId="53" xfId="0" applyNumberFormat="1" applyBorder="1"/>
    <xf numFmtId="0" fontId="41" fillId="0" borderId="77" xfId="0" applyFont="1" applyBorder="1" applyAlignment="1">
      <alignment horizontal="left" vertical="center"/>
    </xf>
    <xf numFmtId="0" fontId="41" fillId="0" borderId="65" xfId="0" applyFont="1" applyBorder="1" applyAlignment="1">
      <alignment horizontal="left" vertical="center"/>
    </xf>
    <xf numFmtId="173" fontId="41" fillId="0" borderId="108" xfId="0" applyNumberFormat="1" applyFont="1" applyBorder="1"/>
    <xf numFmtId="0" fontId="0" fillId="0" borderId="110" xfId="0" applyBorder="1"/>
    <xf numFmtId="173" fontId="0" fillId="0" borderId="110" xfId="0" applyNumberFormat="1" applyBorder="1"/>
    <xf numFmtId="173" fontId="0" fillId="0" borderId="110" xfId="0" applyNumberFormat="1" applyBorder="1" applyAlignment="1">
      <alignment horizontal="left" vertical="center"/>
    </xf>
    <xf numFmtId="43" fontId="0" fillId="0" borderId="110" xfId="0" applyNumberFormat="1" applyBorder="1" applyAlignment="1">
      <alignment horizontal="left" vertical="center"/>
    </xf>
    <xf numFmtId="0" fontId="0" fillId="0" borderId="91" xfId="0" applyBorder="1" applyAlignment="1">
      <alignment horizontal="left" vertical="center"/>
    </xf>
    <xf numFmtId="173" fontId="0" fillId="0" borderId="111" xfId="0" applyNumberFormat="1" applyBorder="1" applyAlignment="1">
      <alignment horizontal="left" vertical="center"/>
    </xf>
    <xf numFmtId="0" fontId="0" fillId="0" borderId="81" xfId="0" applyBorder="1" applyAlignment="1">
      <alignment horizontal="left" vertical="center"/>
    </xf>
    <xf numFmtId="173" fontId="0" fillId="0" borderId="112" xfId="0" applyNumberFormat="1" applyBorder="1" applyAlignment="1">
      <alignment horizontal="left" vertical="center"/>
    </xf>
    <xf numFmtId="0" fontId="0" fillId="0" borderId="111" xfId="0" applyBorder="1" applyAlignment="1">
      <alignment horizontal="left" vertical="center"/>
    </xf>
    <xf numFmtId="0" fontId="0" fillId="0" borderId="114" xfId="0" applyBorder="1"/>
    <xf numFmtId="0" fontId="0" fillId="0" borderId="114" xfId="0" applyBorder="1" applyAlignment="1">
      <alignment horizontal="left" vertical="center"/>
    </xf>
    <xf numFmtId="0" fontId="0" fillId="0" borderId="114" xfId="0" applyBorder="1" applyAlignment="1">
      <alignment horizontal="center" vertical="center"/>
    </xf>
    <xf numFmtId="9" fontId="0" fillId="0" borderId="115" xfId="12" applyFont="1" applyBorder="1" applyAlignment="1">
      <alignment horizontal="center" vertical="center"/>
    </xf>
    <xf numFmtId="9" fontId="0" fillId="0" borderId="116" xfId="12" applyFont="1" applyBorder="1" applyAlignment="1">
      <alignment horizontal="center" vertical="center"/>
    </xf>
    <xf numFmtId="0" fontId="51" fillId="0" borderId="99" xfId="0" applyFont="1" applyBorder="1" applyAlignment="1">
      <alignment horizontal="left" vertical="center" wrapText="1"/>
    </xf>
    <xf numFmtId="0" fontId="51" fillId="0" borderId="98" xfId="0" applyFont="1" applyBorder="1" applyAlignment="1">
      <alignment horizontal="left" vertical="center" wrapText="1"/>
    </xf>
    <xf numFmtId="0" fontId="0" fillId="0" borderId="118" xfId="0" applyBorder="1" applyAlignment="1">
      <alignment horizontal="center"/>
    </xf>
    <xf numFmtId="173" fontId="0" fillId="0" borderId="118" xfId="11" applyNumberFormat="1" applyFont="1" applyBorder="1" applyAlignment="1">
      <alignment horizontal="center"/>
    </xf>
    <xf numFmtId="173" fontId="0" fillId="0" borderId="118" xfId="11" applyNumberFormat="1" applyFont="1" applyBorder="1" applyAlignment="1">
      <alignment horizontal="center" vertical="center"/>
    </xf>
    <xf numFmtId="0" fontId="0" fillId="0" borderId="119" xfId="0" applyBorder="1" applyAlignment="1">
      <alignment horizontal="center"/>
    </xf>
    <xf numFmtId="173" fontId="0" fillId="0" borderId="119" xfId="11" applyNumberFormat="1" applyFont="1" applyBorder="1" applyAlignment="1">
      <alignment horizontal="center" vertical="center"/>
    </xf>
    <xf numFmtId="173" fontId="0" fillId="0" borderId="119" xfId="0" applyNumberFormat="1" applyBorder="1" applyAlignment="1">
      <alignment horizontal="center" vertical="center"/>
    </xf>
    <xf numFmtId="173" fontId="0" fillId="0" borderId="120" xfId="11" applyNumberFormat="1" applyFont="1" applyBorder="1" applyAlignment="1">
      <alignment horizontal="center" vertical="center"/>
    </xf>
    <xf numFmtId="0" fontId="41" fillId="11" borderId="117" xfId="0" applyFont="1" applyFill="1" applyBorder="1" applyAlignment="1">
      <alignment horizontal="center"/>
    </xf>
    <xf numFmtId="0" fontId="41" fillId="11" borderId="113" xfId="0" applyFont="1" applyFill="1" applyBorder="1" applyAlignment="1">
      <alignment horizontal="center"/>
    </xf>
    <xf numFmtId="0" fontId="41" fillId="11" borderId="109" xfId="0" applyFont="1" applyFill="1" applyBorder="1" applyAlignment="1">
      <alignment horizontal="center"/>
    </xf>
    <xf numFmtId="173" fontId="0" fillId="0" borderId="118" xfId="11" applyNumberFormat="1" applyFont="1" applyBorder="1" applyAlignment="1">
      <alignment horizontal="left" vertical="center"/>
    </xf>
    <xf numFmtId="173" fontId="41" fillId="0" borderId="53" xfId="0" applyNumberFormat="1" applyFont="1" applyBorder="1"/>
    <xf numFmtId="0" fontId="0" fillId="0" borderId="82" xfId="0" applyBorder="1" applyAlignment="1">
      <alignment horizontal="left" vertical="center"/>
    </xf>
    <xf numFmtId="0" fontId="52" fillId="0" borderId="0" xfId="0" applyFont="1" applyAlignment="1">
      <alignment horizontal="center"/>
    </xf>
    <xf numFmtId="3" fontId="0" fillId="0" borderId="88" xfId="0" applyNumberFormat="1" applyBorder="1" applyAlignment="1">
      <alignment horizontal="center" vertical="center"/>
    </xf>
    <xf numFmtId="3" fontId="0" fillId="0" borderId="89" xfId="0" applyNumberFormat="1" applyBorder="1" applyAlignment="1">
      <alignment horizontal="center" vertical="center"/>
    </xf>
    <xf numFmtId="3" fontId="0" fillId="0" borderId="102" xfId="0" applyNumberFormat="1" applyBorder="1" applyAlignment="1">
      <alignment horizontal="center" vertical="center"/>
    </xf>
    <xf numFmtId="0" fontId="51" fillId="11" borderId="48" xfId="0" applyFont="1" applyFill="1" applyBorder="1" applyAlignment="1">
      <alignment horizontal="center" vertical="center"/>
    </xf>
    <xf numFmtId="0" fontId="51" fillId="11" borderId="84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51" fillId="12" borderId="55" xfId="0" applyFont="1" applyFill="1" applyBorder="1" applyAlignment="1">
      <alignment horizontal="center" vertical="center"/>
    </xf>
    <xf numFmtId="0" fontId="51" fillId="12" borderId="57" xfId="0" applyFont="1" applyFill="1" applyBorder="1" applyAlignment="1">
      <alignment horizontal="center" vertical="center"/>
    </xf>
    <xf numFmtId="0" fontId="51" fillId="12" borderId="48" xfId="0" applyFont="1" applyFill="1" applyBorder="1" applyAlignment="1">
      <alignment horizontal="center" vertical="center"/>
    </xf>
    <xf numFmtId="0" fontId="51" fillId="12" borderId="70" xfId="0" applyFont="1" applyFill="1" applyBorder="1" applyAlignment="1">
      <alignment horizontal="center" vertical="center"/>
    </xf>
    <xf numFmtId="0" fontId="51" fillId="12" borderId="95" xfId="0" applyFont="1" applyFill="1" applyBorder="1" applyAlignment="1">
      <alignment horizontal="center" vertical="center"/>
    </xf>
    <xf numFmtId="0" fontId="51" fillId="12" borderId="96" xfId="0" applyFont="1" applyFill="1" applyBorder="1" applyAlignment="1">
      <alignment horizontal="center" vertical="center"/>
    </xf>
    <xf numFmtId="0" fontId="51" fillId="0" borderId="99" xfId="0" applyFont="1" applyBorder="1" applyAlignment="1">
      <alignment horizontal="center" vertical="center" wrapText="1"/>
    </xf>
    <xf numFmtId="0" fontId="51" fillId="0" borderId="98" xfId="0" applyFont="1" applyBorder="1" applyAlignment="1">
      <alignment horizontal="center" vertical="center" wrapText="1"/>
    </xf>
    <xf numFmtId="3" fontId="30" fillId="2" borderId="5" xfId="1" applyNumberFormat="1" applyFont="1" applyFill="1" applyBorder="1" applyAlignment="1">
      <alignment horizontal="center" vertical="center" wrapText="1"/>
    </xf>
    <xf numFmtId="3" fontId="30" fillId="2" borderId="15" xfId="1" applyNumberFormat="1" applyFont="1" applyFill="1" applyBorder="1" applyAlignment="1">
      <alignment horizontal="center" vertical="center" wrapText="1"/>
    </xf>
    <xf numFmtId="0" fontId="41" fillId="0" borderId="25" xfId="0" applyFont="1" applyBorder="1" applyAlignment="1">
      <alignment horizontal="center" vertical="center"/>
    </xf>
    <xf numFmtId="0" fontId="41" fillId="0" borderId="26" xfId="0" applyFont="1" applyBorder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4" fontId="29" fillId="0" borderId="0" xfId="0" applyNumberFormat="1" applyFont="1" applyAlignment="1">
      <alignment horizontal="center" vertical="center"/>
    </xf>
    <xf numFmtId="0" fontId="30" fillId="0" borderId="25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18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41" fillId="0" borderId="25" xfId="0" applyFont="1" applyBorder="1" applyAlignment="1">
      <alignment horizontal="center"/>
    </xf>
    <xf numFmtId="0" fontId="41" fillId="0" borderId="26" xfId="0" applyFont="1" applyBorder="1" applyAlignment="1">
      <alignment horizontal="center"/>
    </xf>
    <xf numFmtId="0" fontId="41" fillId="0" borderId="27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41" fillId="0" borderId="19" xfId="0" applyFont="1" applyBorder="1" applyAlignment="1">
      <alignment horizontal="center"/>
    </xf>
    <xf numFmtId="0" fontId="41" fillId="0" borderId="20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51" fillId="0" borderId="18" xfId="0" applyFont="1" applyBorder="1" applyAlignment="1">
      <alignment horizontal="center" vertical="center"/>
    </xf>
    <xf numFmtId="0" fontId="51" fillId="0" borderId="19" xfId="0" applyFont="1" applyBorder="1" applyAlignment="1">
      <alignment horizontal="center" vertical="center"/>
    </xf>
    <xf numFmtId="0" fontId="51" fillId="0" borderId="20" xfId="0" applyFont="1" applyBorder="1" applyAlignment="1">
      <alignment horizontal="center" vertical="center"/>
    </xf>
    <xf numFmtId="0" fontId="52" fillId="0" borderId="25" xfId="0" applyFont="1" applyBorder="1" applyAlignment="1">
      <alignment horizontal="center"/>
    </xf>
    <xf numFmtId="0" fontId="52" fillId="0" borderId="26" xfId="0" applyFont="1" applyBorder="1" applyAlignment="1">
      <alignment horizontal="center"/>
    </xf>
    <xf numFmtId="0" fontId="52" fillId="0" borderId="27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6" fillId="0" borderId="0" xfId="0" applyFont="1" applyAlignment="1">
      <alignment horizontal="center"/>
    </xf>
    <xf numFmtId="14" fontId="5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indent="16"/>
    </xf>
    <xf numFmtId="0" fontId="0" fillId="0" borderId="0" xfId="0" applyAlignment="1">
      <alignment horizontal="left" vertical="center" indent="15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12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9" fontId="0" fillId="0" borderId="0" xfId="12" applyFont="1" applyAlignment="1">
      <alignment horizontal="center" vertic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41" fillId="0" borderId="58" xfId="0" applyFont="1" applyBorder="1" applyAlignment="1">
      <alignment horizontal="center" vertical="center"/>
    </xf>
    <xf numFmtId="0" fontId="41" fillId="0" borderId="65" xfId="0" applyFont="1" applyBorder="1" applyAlignment="1">
      <alignment horizontal="center" vertical="center"/>
    </xf>
    <xf numFmtId="0" fontId="41" fillId="11" borderId="55" xfId="0" applyFont="1" applyFill="1" applyBorder="1" applyAlignment="1">
      <alignment horizontal="center"/>
    </xf>
    <xf numFmtId="0" fontId="41" fillId="11" borderId="56" xfId="0" applyFont="1" applyFill="1" applyBorder="1" applyAlignment="1">
      <alignment horizontal="center"/>
    </xf>
    <xf numFmtId="0" fontId="41" fillId="11" borderId="57" xfId="0" applyFont="1" applyFill="1" applyBorder="1" applyAlignment="1">
      <alignment horizontal="center"/>
    </xf>
    <xf numFmtId="0" fontId="41" fillId="11" borderId="25" xfId="0" applyFont="1" applyFill="1" applyBorder="1" applyAlignment="1">
      <alignment horizontal="center"/>
    </xf>
    <xf numFmtId="0" fontId="41" fillId="11" borderId="26" xfId="0" applyFont="1" applyFill="1" applyBorder="1" applyAlignment="1">
      <alignment horizontal="center"/>
    </xf>
    <xf numFmtId="0" fontId="41" fillId="11" borderId="27" xfId="0" applyFont="1" applyFill="1" applyBorder="1" applyAlignment="1">
      <alignment horizontal="center"/>
    </xf>
    <xf numFmtId="0" fontId="41" fillId="12" borderId="48" xfId="0" applyFont="1" applyFill="1" applyBorder="1" applyAlignment="1">
      <alignment horizontal="center" vertical="center"/>
    </xf>
    <xf numFmtId="0" fontId="41" fillId="12" borderId="70" xfId="0" applyFont="1" applyFill="1" applyBorder="1" applyAlignment="1">
      <alignment horizontal="center" vertical="center"/>
    </xf>
    <xf numFmtId="0" fontId="41" fillId="12" borderId="62" xfId="0" applyFont="1" applyFill="1" applyBorder="1" applyAlignment="1">
      <alignment horizontal="center" vertical="center"/>
    </xf>
    <xf numFmtId="0" fontId="41" fillId="12" borderId="60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76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63" xfId="0" applyBorder="1" applyAlignment="1">
      <alignment horizontal="center"/>
    </xf>
    <xf numFmtId="0" fontId="51" fillId="11" borderId="55" xfId="0" applyFont="1" applyFill="1" applyBorder="1" applyAlignment="1">
      <alignment horizontal="center" vertical="center"/>
    </xf>
    <xf numFmtId="0" fontId="51" fillId="11" borderId="57" xfId="0" applyFont="1" applyFill="1" applyBorder="1" applyAlignment="1">
      <alignment horizontal="center" vertical="center"/>
    </xf>
    <xf numFmtId="0" fontId="41" fillId="12" borderId="76" xfId="0" applyFont="1" applyFill="1" applyBorder="1" applyAlignment="1">
      <alignment horizontal="center" vertical="center"/>
    </xf>
    <xf numFmtId="0" fontId="41" fillId="12" borderId="63" xfId="0" applyFont="1" applyFill="1" applyBorder="1" applyAlignment="1">
      <alignment horizontal="center" vertical="center"/>
    </xf>
  </cellXfs>
  <cellStyles count="16">
    <cellStyle name="Comma" xfId="11" builtinId="3"/>
    <cellStyle name="Comma 2" xfId="6" xr:uid="{00000000-0005-0000-0000-000001000000}"/>
    <cellStyle name="Comma 3" xfId="7" xr:uid="{00000000-0005-0000-0000-000002000000}"/>
    <cellStyle name="Comma 4" xfId="8" xr:uid="{00000000-0005-0000-0000-000003000000}"/>
    <cellStyle name="Comma 5" xfId="10" xr:uid="{00000000-0005-0000-0000-000004000000}"/>
    <cellStyle name="Comma 6" xfId="14" xr:uid="{00000000-0005-0000-0000-000005000000}"/>
    <cellStyle name="Normal" xfId="0" builtinId="0"/>
    <cellStyle name="Normal 2" xfId="1" xr:uid="{00000000-0005-0000-0000-000007000000}"/>
    <cellStyle name="Normal 2 2" xfId="3" xr:uid="{00000000-0005-0000-0000-000008000000}"/>
    <cellStyle name="Normal 3" xfId="9" xr:uid="{00000000-0005-0000-0000-000009000000}"/>
    <cellStyle name="Normal 4" xfId="2" xr:uid="{00000000-0005-0000-0000-00000A000000}"/>
    <cellStyle name="Normal 5" xfId="13" xr:uid="{00000000-0005-0000-0000-00000B000000}"/>
    <cellStyle name="Percent" xfId="12" builtinId="5"/>
    <cellStyle name="Percent 2" xfId="4" xr:uid="{00000000-0005-0000-0000-00000D000000}"/>
    <cellStyle name="Percent 3" xfId="5" xr:uid="{00000000-0005-0000-0000-00000E000000}"/>
    <cellStyle name="Percent 4" xfId="15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DRI!$B$18</c:f>
              <c:strCache>
                <c:ptCount val="1"/>
                <c:pt idx="0">
                  <c:v>MRMR Effect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DRI!$E$4:$F$4</c:f>
              <c:strCache>
                <c:ptCount val="2"/>
                <c:pt idx="0">
                  <c:v>EZDK</c:v>
                </c:pt>
                <c:pt idx="1">
                  <c:v>ERM</c:v>
                </c:pt>
              </c:strCache>
            </c:strRef>
          </c:cat>
          <c:val>
            <c:numRef>
              <c:f>DRI!$E$18:$F$18</c:f>
              <c:numCache>
                <c:formatCode>0.00</c:formatCode>
                <c:ptCount val="2"/>
                <c:pt idx="0">
                  <c:v>65</c:v>
                </c:pt>
                <c:pt idx="1">
                  <c:v>58.746599999999994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F-4D92-8FAB-261708852F61}"/>
            </c:ext>
          </c:extLst>
        </c:ser>
        <c:ser>
          <c:idx val="1"/>
          <c:order val="1"/>
          <c:tx>
            <c:strRef>
              <c:f>DRI!$B$19</c:f>
              <c:strCache>
                <c:ptCount val="1"/>
                <c:pt idx="0">
                  <c:v>Other Conversion Cost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DRI!$E$4:$F$4</c:f>
              <c:strCache>
                <c:ptCount val="2"/>
                <c:pt idx="0">
                  <c:v>EZDK</c:v>
                </c:pt>
                <c:pt idx="1">
                  <c:v>ERM</c:v>
                </c:pt>
              </c:strCache>
            </c:strRef>
          </c:cat>
          <c:val>
            <c:numRef>
              <c:f>DRI!$E$19:$F$19</c:f>
              <c:numCache>
                <c:formatCode>0.00</c:formatCode>
                <c:ptCount val="2"/>
                <c:pt idx="0" formatCode="#,##0.00">
                  <c:v>67.421286375661396</c:v>
                </c:pt>
                <c:pt idx="1">
                  <c:v>70.304900793650802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2F-4D92-8FAB-261708852F61}"/>
            </c:ext>
          </c:extLst>
        </c:ser>
        <c:ser>
          <c:idx val="2"/>
          <c:order val="2"/>
          <c:tx>
            <c:strRef>
              <c:f>DRI!$B$16</c:f>
              <c:strCache>
                <c:ptCount val="1"/>
                <c:pt idx="0">
                  <c:v>Material Prices</c:v>
                </c:pt>
              </c:strCache>
            </c:strRef>
          </c:tx>
          <c:spPr>
            <a:solidFill>
              <a:schemeClr val="lt1"/>
            </a:solidFill>
            <a:ln w="25400" cap="flat" cmpd="sng" algn="ctr">
              <a:solidFill>
                <a:schemeClr val="accent3"/>
              </a:solidFill>
              <a:prstDash val="solid"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DRI!$E$16:$F$16</c:f>
              <c:numCache>
                <c:formatCode>#,##0.00</c:formatCode>
                <c:ptCount val="2"/>
                <c:pt idx="0">
                  <c:v>130</c:v>
                </c:pt>
                <c:pt idx="1">
                  <c:v>136.62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2F-4D92-8FAB-26170885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7304192"/>
        <c:axId val="216798272"/>
      </c:barChart>
      <c:lineChart>
        <c:grouping val="standard"/>
        <c:varyColors val="0"/>
        <c:ser>
          <c:idx val="3"/>
          <c:order val="3"/>
          <c:tx>
            <c:strRef>
              <c:f>DRI!$B$22</c:f>
              <c:strCache>
                <c:ptCount val="1"/>
                <c:pt idx="0">
                  <c:v>Total Variable Manufacturing Cost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2326552930883641E-2"/>
                  <c:y val="-6.06598133566637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2F-4D92-8FAB-261708852F61}"/>
                </c:ext>
              </c:extLst>
            </c:dLbl>
            <c:dLbl>
              <c:idx val="1"/>
              <c:layout>
                <c:manualLayout>
                  <c:x val="-6.2326552930883641E-2"/>
                  <c:y val="-2.82524059492563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2F-4D92-8FAB-261708852F6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DRI!$E$22:$F$22</c:f>
              <c:numCache>
                <c:formatCode>#,##0.00</c:formatCode>
                <c:ptCount val="2"/>
                <c:pt idx="0">
                  <c:v>262.4212863756614</c:v>
                </c:pt>
                <c:pt idx="1">
                  <c:v>265.67150079365081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B2F-4D92-8FAB-26170885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304704"/>
        <c:axId val="216798848"/>
      </c:lineChart>
      <c:catAx>
        <c:axId val="2473041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216798272"/>
        <c:crosses val="autoZero"/>
        <c:auto val="1"/>
        <c:lblAlgn val="ctr"/>
        <c:lblOffset val="100"/>
        <c:noMultiLvlLbl val="0"/>
      </c:catAx>
      <c:valAx>
        <c:axId val="216798272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247304192"/>
        <c:crosses val="autoZero"/>
        <c:crossBetween val="between"/>
      </c:valAx>
      <c:valAx>
        <c:axId val="216798848"/>
        <c:scaling>
          <c:orientation val="minMax"/>
          <c:max val="260"/>
          <c:min val="230"/>
        </c:scaling>
        <c:delete val="1"/>
        <c:axPos val="r"/>
        <c:numFmt formatCode="#,##0.00" sourceLinked="1"/>
        <c:majorTickMark val="out"/>
        <c:minorTickMark val="none"/>
        <c:tickLblPos val="nextTo"/>
        <c:crossAx val="247304704"/>
        <c:crosses val="max"/>
        <c:crossBetween val="between"/>
      </c:valAx>
      <c:catAx>
        <c:axId val="247304704"/>
        <c:scaling>
          <c:orientation val="minMax"/>
        </c:scaling>
        <c:delete val="1"/>
        <c:axPos val="b"/>
        <c:majorTickMark val="out"/>
        <c:minorTickMark val="none"/>
        <c:tickLblPos val="nextTo"/>
        <c:crossAx val="216798848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Billet!$B$26</c:f>
              <c:strCache>
                <c:ptCount val="1"/>
                <c:pt idx="0">
                  <c:v>Yield Effect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Billet!$E$4:$G$4</c:f>
              <c:strCache>
                <c:ptCount val="3"/>
                <c:pt idx="0">
                  <c:v>EZDK</c:v>
                </c:pt>
                <c:pt idx="1">
                  <c:v>EFS</c:v>
                </c:pt>
                <c:pt idx="2">
                  <c:v>ESR</c:v>
                </c:pt>
              </c:strCache>
            </c:strRef>
          </c:cat>
          <c:val>
            <c:numRef>
              <c:f>Billet!$E$26:$G$26</c:f>
              <c:numCache>
                <c:formatCode>0.00</c:formatCode>
                <c:ptCount val="3"/>
                <c:pt idx="0">
                  <c:v>49.867811387346229</c:v>
                </c:pt>
                <c:pt idx="1">
                  <c:v>56.028332698125062</c:v>
                </c:pt>
                <c:pt idx="2">
                  <c:v>47.853748118878613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B-4C18-BFDB-0C9911591793}"/>
            </c:ext>
          </c:extLst>
        </c:ser>
        <c:ser>
          <c:idx val="1"/>
          <c:order val="1"/>
          <c:tx>
            <c:strRef>
              <c:f>Billet!$B$27</c:f>
              <c:strCache>
                <c:ptCount val="1"/>
                <c:pt idx="0">
                  <c:v>Other Conversion Cost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Billet!$E$4:$G$4</c:f>
              <c:strCache>
                <c:ptCount val="3"/>
                <c:pt idx="0">
                  <c:v>EZDK</c:v>
                </c:pt>
                <c:pt idx="1">
                  <c:v>EFS</c:v>
                </c:pt>
                <c:pt idx="2">
                  <c:v>ESR</c:v>
                </c:pt>
              </c:strCache>
            </c:strRef>
          </c:cat>
          <c:val>
            <c:numRef>
              <c:f>Billet!$E$27:$G$27</c:f>
              <c:numCache>
                <c:formatCode>0.00</c:formatCode>
                <c:ptCount val="3"/>
                <c:pt idx="0">
                  <c:v>119.16395824256901</c:v>
                </c:pt>
                <c:pt idx="1">
                  <c:v>130.70155184951761</c:v>
                </c:pt>
                <c:pt idx="2" formatCode="#,##0.00">
                  <c:v>120.68527649860715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4B-4C18-BFDB-0C9911591793}"/>
            </c:ext>
          </c:extLst>
        </c:ser>
        <c:ser>
          <c:idx val="2"/>
          <c:order val="2"/>
          <c:tx>
            <c:strRef>
              <c:f>Billet!$B$24</c:f>
              <c:strCache>
                <c:ptCount val="1"/>
                <c:pt idx="0">
                  <c:v>Material Price</c:v>
                </c:pt>
              </c:strCache>
            </c:strRef>
          </c:tx>
          <c:spPr>
            <a:solidFill>
              <a:schemeClr val="lt1"/>
            </a:solidFill>
            <a:ln w="25400" cap="flat" cmpd="sng" algn="ctr">
              <a:solidFill>
                <a:schemeClr val="accent3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Billet!$E$24:$G$24</c:f>
              <c:numCache>
                <c:formatCode>0.00</c:formatCode>
                <c:ptCount val="3"/>
                <c:pt idx="0">
                  <c:v>269.8680291005291</c:v>
                </c:pt>
                <c:pt idx="1">
                  <c:v>264.65922114727823</c:v>
                </c:pt>
                <c:pt idx="2">
                  <c:v>294.9320051368195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4B-4C18-BFDB-0C9911591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7306752"/>
        <c:axId val="247242752"/>
      </c:barChart>
      <c:lineChart>
        <c:grouping val="standard"/>
        <c:varyColors val="0"/>
        <c:ser>
          <c:idx val="3"/>
          <c:order val="3"/>
          <c:tx>
            <c:strRef>
              <c:f>Billet!$B$30</c:f>
              <c:strCache>
                <c:ptCount val="1"/>
                <c:pt idx="0">
                  <c:v>Total Variable Manufacturing Cost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5.3069553805774279E-2"/>
                  <c:y val="-3.87644485615768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4B-4C18-BFDB-0C9911591793}"/>
                </c:ext>
              </c:extLst>
            </c:dLbl>
            <c:numFmt formatCode="#,##0" sourceLinked="0"/>
            <c:spPr>
              <a:solidFill>
                <a:schemeClr val="lt1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Billet!$E$30:$G$30</c:f>
              <c:numCache>
                <c:formatCode>#,##0.00</c:formatCode>
                <c:ptCount val="3"/>
                <c:pt idx="0">
                  <c:v>438.89979873044433</c:v>
                </c:pt>
                <c:pt idx="1">
                  <c:v>451.38910569492089</c:v>
                </c:pt>
                <c:pt idx="2">
                  <c:v>463.47102975430528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4B-4C18-BFDB-0C9911591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307264"/>
        <c:axId val="247243328"/>
      </c:lineChart>
      <c:catAx>
        <c:axId val="247306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247242752"/>
        <c:crosses val="autoZero"/>
        <c:auto val="1"/>
        <c:lblAlgn val="ctr"/>
        <c:lblOffset val="100"/>
        <c:noMultiLvlLbl val="0"/>
      </c:catAx>
      <c:valAx>
        <c:axId val="247242752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247306752"/>
        <c:crosses val="autoZero"/>
        <c:crossBetween val="between"/>
      </c:valAx>
      <c:valAx>
        <c:axId val="247243328"/>
        <c:scaling>
          <c:orientation val="minMax"/>
          <c:min val="360"/>
        </c:scaling>
        <c:delete val="1"/>
        <c:axPos val="r"/>
        <c:numFmt formatCode="#,##0.00" sourceLinked="1"/>
        <c:majorTickMark val="out"/>
        <c:minorTickMark val="none"/>
        <c:tickLblPos val="nextTo"/>
        <c:crossAx val="247307264"/>
        <c:crosses val="max"/>
        <c:crossBetween val="between"/>
      </c:valAx>
      <c:catAx>
        <c:axId val="247307264"/>
        <c:scaling>
          <c:orientation val="minMax"/>
        </c:scaling>
        <c:delete val="1"/>
        <c:axPos val="b"/>
        <c:majorTickMark val="out"/>
        <c:minorTickMark val="none"/>
        <c:tickLblPos val="nextTo"/>
        <c:crossAx val="247243328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Rebar!$B$14</c:f>
              <c:strCache>
                <c:ptCount val="1"/>
                <c:pt idx="0">
                  <c:v>Yeild Effect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3.971321057566711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14-46FC-8D65-9F58C9097861}"/>
                </c:ext>
              </c:extLst>
            </c:dLbl>
            <c:dLbl>
              <c:idx val="1"/>
              <c:layout>
                <c:manualLayout>
                  <c:x val="0"/>
                  <c:y val="-1.493237682263195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14-46FC-8D65-9F58C9097861}"/>
                </c:ext>
              </c:extLst>
            </c:dLbl>
            <c:dLbl>
              <c:idx val="2"/>
              <c:layout>
                <c:manualLayout>
                  <c:x val="-2.7777777777777779E-3"/>
                  <c:y val="-2.252386158438463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14-46FC-8D65-9F58C9097861}"/>
                </c:ext>
              </c:extLst>
            </c:dLbl>
            <c:dLbl>
              <c:idx val="3"/>
              <c:layout>
                <c:manualLayout>
                  <c:x val="0"/>
                  <c:y val="1.492746324026341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14-46FC-8D65-9F58C909786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Rebar!$E$4:$H$4</c:f>
              <c:strCache>
                <c:ptCount val="4"/>
                <c:pt idx="0">
                  <c:v>EZDK</c:v>
                </c:pt>
                <c:pt idx="1">
                  <c:v>EFS</c:v>
                </c:pt>
                <c:pt idx="2">
                  <c:v>ERM</c:v>
                </c:pt>
                <c:pt idx="3">
                  <c:v>ESR</c:v>
                </c:pt>
              </c:strCache>
            </c:strRef>
          </c:cat>
          <c:val>
            <c:numRef>
              <c:f>Rebar!$E$14:$H$14</c:f>
              <c:numCache>
                <c:formatCode>0.00</c:formatCode>
                <c:ptCount val="4"/>
                <c:pt idx="0">
                  <c:v>29.910069599447098</c:v>
                </c:pt>
                <c:pt idx="1">
                  <c:v>13.529120378743611</c:v>
                </c:pt>
                <c:pt idx="2">
                  <c:v>9.3327736786208497</c:v>
                </c:pt>
                <c:pt idx="3">
                  <c:v>15.208958314994899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14-46FC-8D65-9F58C9097861}"/>
            </c:ext>
          </c:extLst>
        </c:ser>
        <c:ser>
          <c:idx val="1"/>
          <c:order val="1"/>
          <c:tx>
            <c:strRef>
              <c:f>Rebar!$B$16</c:f>
              <c:strCache>
                <c:ptCount val="1"/>
                <c:pt idx="0">
                  <c:v>Other Conversion Cost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Rebar!$E$16:$H$16</c:f>
              <c:numCache>
                <c:formatCode>#,##0.00</c:formatCode>
                <c:ptCount val="4"/>
                <c:pt idx="0">
                  <c:v>16.153119658252994</c:v>
                </c:pt>
                <c:pt idx="1">
                  <c:v>12.116606884392233</c:v>
                </c:pt>
                <c:pt idx="2" formatCode="0.00">
                  <c:v>17.008738017724912</c:v>
                </c:pt>
                <c:pt idx="3">
                  <c:v>14.946021167880447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14-46FC-8D65-9F58C9097861}"/>
            </c:ext>
          </c:extLst>
        </c:ser>
        <c:ser>
          <c:idx val="2"/>
          <c:order val="2"/>
          <c:tx>
            <c:strRef>
              <c:f>Rebar!$B$12</c:f>
              <c:strCache>
                <c:ptCount val="1"/>
                <c:pt idx="0">
                  <c:v>Material Price</c:v>
                </c:pt>
              </c:strCache>
            </c:strRef>
          </c:tx>
          <c:spPr>
            <a:solidFill>
              <a:schemeClr val="lt1"/>
            </a:solidFill>
            <a:ln w="25400" cap="flat" cmpd="sng" algn="ctr">
              <a:solidFill>
                <a:schemeClr val="accent3"/>
              </a:solidFill>
              <a:prstDash val="solid"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Rebar!$E$12:$H$12</c:f>
              <c:numCache>
                <c:formatCode>#,##0.00</c:formatCode>
                <c:ptCount val="4"/>
                <c:pt idx="0">
                  <c:v>438.89979873044433</c:v>
                </c:pt>
                <c:pt idx="1">
                  <c:v>451.38910569492089</c:v>
                </c:pt>
                <c:pt idx="2">
                  <c:v>438.89979873044433</c:v>
                </c:pt>
                <c:pt idx="3">
                  <c:v>463.47102975430528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14-46FC-8D65-9F58C9097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6245120"/>
        <c:axId val="247245632"/>
      </c:barChart>
      <c:lineChart>
        <c:grouping val="standard"/>
        <c:varyColors val="0"/>
        <c:ser>
          <c:idx val="3"/>
          <c:order val="3"/>
          <c:tx>
            <c:strRef>
              <c:f>Rebar!$B$19</c:f>
              <c:strCache>
                <c:ptCount val="1"/>
                <c:pt idx="0">
                  <c:v>Total Variable Manufacturing Cost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4736220472440948E-2"/>
                  <c:y val="-8.60414684668272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E14-46FC-8D65-9F58C9097861}"/>
                </c:ext>
              </c:extLst>
            </c:dLbl>
            <c:dLbl>
              <c:idx val="1"/>
              <c:layout>
                <c:manualLayout>
                  <c:x val="-4.4736220472440948E-2"/>
                  <c:y val="-0.113461935509989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E14-46FC-8D65-9F58C9097861}"/>
                </c:ext>
              </c:extLst>
            </c:dLbl>
            <c:dLbl>
              <c:idx val="2"/>
              <c:layout>
                <c:manualLayout>
                  <c:x val="-4.4736220472440948E-2"/>
                  <c:y val="-0.116889527626527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E14-46FC-8D65-9F58C9097861}"/>
                </c:ext>
              </c:extLst>
            </c:dLbl>
            <c:dLbl>
              <c:idx val="3"/>
              <c:layout>
                <c:manualLayout>
                  <c:x val="-4.4736439195100612E-2"/>
                  <c:y val="-9.63239749272986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E14-46FC-8D65-9F58C9097861}"/>
                </c:ext>
              </c:extLst>
            </c:dLbl>
            <c:numFmt formatCode="#,##0" sourceLinked="0"/>
            <c:spPr>
              <a:solidFill>
                <a:schemeClr val="lt1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Rebar!$E$12:$H$12</c:f>
              <c:numCache>
                <c:formatCode>#,##0.00</c:formatCode>
                <c:ptCount val="4"/>
                <c:pt idx="0">
                  <c:v>438.89979873044433</c:v>
                </c:pt>
                <c:pt idx="1">
                  <c:v>451.38910569492089</c:v>
                </c:pt>
                <c:pt idx="2">
                  <c:v>438.89979873044433</c:v>
                </c:pt>
                <c:pt idx="3">
                  <c:v>463.47102975430528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E14-46FC-8D65-9F58C9097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245632"/>
        <c:axId val="247246208"/>
      </c:lineChart>
      <c:catAx>
        <c:axId val="2662451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247245632"/>
        <c:crosses val="autoZero"/>
        <c:auto val="1"/>
        <c:lblAlgn val="ctr"/>
        <c:lblOffset val="100"/>
        <c:noMultiLvlLbl val="0"/>
      </c:catAx>
      <c:valAx>
        <c:axId val="247245632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266245120"/>
        <c:crosses val="autoZero"/>
        <c:crossBetween val="between"/>
      </c:valAx>
      <c:valAx>
        <c:axId val="247246208"/>
        <c:scaling>
          <c:orientation val="minMax"/>
          <c:min val="300"/>
        </c:scaling>
        <c:delete val="1"/>
        <c:axPos val="r"/>
        <c:numFmt formatCode="#,##0.00" sourceLinked="1"/>
        <c:majorTickMark val="out"/>
        <c:minorTickMark val="none"/>
        <c:tickLblPos val="nextTo"/>
        <c:crossAx val="266245632"/>
        <c:crosses val="max"/>
        <c:crossBetween val="between"/>
      </c:valAx>
      <c:catAx>
        <c:axId val="266245632"/>
        <c:scaling>
          <c:orientation val="minMax"/>
        </c:scaling>
        <c:delete val="1"/>
        <c:axPos val="b"/>
        <c:majorTickMark val="out"/>
        <c:minorTickMark val="none"/>
        <c:tickLblPos val="nextTo"/>
        <c:crossAx val="247246208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Wire!$B$14</c:f>
              <c:strCache>
                <c:ptCount val="1"/>
                <c:pt idx="0">
                  <c:v>Yeild Effect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-5.71939177796150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D3-4FA5-9C2A-2A34BE5A987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Wire!$E$4</c:f>
              <c:strCache>
                <c:ptCount val="1"/>
                <c:pt idx="0">
                  <c:v>EZDK</c:v>
                </c:pt>
              </c:strCache>
            </c:strRef>
          </c:cat>
          <c:val>
            <c:numRef>
              <c:f>Wire!$E$14</c:f>
              <c:numCache>
                <c:formatCode>0.00</c:formatCode>
                <c:ptCount val="1"/>
                <c:pt idx="0">
                  <c:v>10.746547679190325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D3-4FA5-9C2A-2A34BE5A9871}"/>
            </c:ext>
          </c:extLst>
        </c:ser>
        <c:ser>
          <c:idx val="1"/>
          <c:order val="1"/>
          <c:tx>
            <c:strRef>
              <c:f>Wire!$B$16</c:f>
              <c:strCache>
                <c:ptCount val="1"/>
                <c:pt idx="0">
                  <c:v>Other Conversion Cost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dLbls>
            <c:dLbl>
              <c:idx val="0"/>
              <c:layout>
                <c:manualLayout>
                  <c:x val="-2.908223729651522E-7"/>
                  <c:y val="2.107411978973354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D3-4FA5-9C2A-2A34BE5A987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Wire!$E$4</c:f>
              <c:strCache>
                <c:ptCount val="1"/>
                <c:pt idx="0">
                  <c:v>EZDK</c:v>
                </c:pt>
              </c:strCache>
            </c:strRef>
          </c:cat>
          <c:val>
            <c:numRef>
              <c:f>Wire!$E$16</c:f>
              <c:numCache>
                <c:formatCode>#,##0.00</c:formatCode>
                <c:ptCount val="1"/>
                <c:pt idx="0">
                  <c:v>18.8731597906094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D3-4FA5-9C2A-2A34BE5A9871}"/>
            </c:ext>
          </c:extLst>
        </c:ser>
        <c:ser>
          <c:idx val="2"/>
          <c:order val="2"/>
          <c:tx>
            <c:strRef>
              <c:f>Wire!$B$12</c:f>
              <c:strCache>
                <c:ptCount val="1"/>
                <c:pt idx="0">
                  <c:v>Material Price</c:v>
                </c:pt>
              </c:strCache>
            </c:strRef>
          </c:tx>
          <c:spPr>
            <a:solidFill>
              <a:schemeClr val="lt1"/>
            </a:solidFill>
            <a:ln w="25400" cap="flat" cmpd="sng" algn="ctr">
              <a:solidFill>
                <a:schemeClr val="accent3"/>
              </a:solidFill>
              <a:prstDash val="solid"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Wire!$E$4</c:f>
              <c:strCache>
                <c:ptCount val="1"/>
                <c:pt idx="0">
                  <c:v>EZDK</c:v>
                </c:pt>
              </c:strCache>
            </c:strRef>
          </c:cat>
          <c:val>
            <c:numRef>
              <c:f>Wire!$E$12</c:f>
              <c:numCache>
                <c:formatCode>#,##0.00</c:formatCode>
                <c:ptCount val="1"/>
                <c:pt idx="0">
                  <c:v>438.89979873044433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D3-4FA5-9C2A-2A34BE5A9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6366976"/>
        <c:axId val="247248512"/>
      </c:barChart>
      <c:scatterChart>
        <c:scatterStyle val="lineMarker"/>
        <c:varyColors val="0"/>
        <c:ser>
          <c:idx val="3"/>
          <c:order val="3"/>
          <c:tx>
            <c:strRef>
              <c:f>Wire!$B$19</c:f>
              <c:strCache>
                <c:ptCount val="1"/>
                <c:pt idx="0">
                  <c:v>Total Variable Manufacturing Cost</c:v>
                </c:pt>
              </c:strCache>
            </c:strRef>
          </c:tx>
          <c:spPr>
            <a:ln w="28575">
              <a:noFill/>
            </a:ln>
          </c:spPr>
          <c:marker>
            <c:spPr>
              <a:noFill/>
            </c:spPr>
          </c:marker>
          <c:dLbls>
            <c:numFmt formatCode="#,##0" sourceLinked="0"/>
            <c:spPr>
              <a:solidFill>
                <a:schemeClr val="lt1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Wire!$E$19</c:f>
              <c:numCache>
                <c:formatCode>#,##0.00</c:formatCode>
                <c:ptCount val="1"/>
                <c:pt idx="0">
                  <c:v>462.53277780518232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D3-4FA5-9C2A-2A34BE5A9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249664"/>
        <c:axId val="247249088"/>
      </c:scatterChart>
      <c:catAx>
        <c:axId val="266366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247248512"/>
        <c:crosses val="autoZero"/>
        <c:auto val="1"/>
        <c:lblAlgn val="ctr"/>
        <c:lblOffset val="100"/>
        <c:noMultiLvlLbl val="0"/>
      </c:catAx>
      <c:valAx>
        <c:axId val="247248512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266366976"/>
        <c:crosses val="autoZero"/>
        <c:crossBetween val="between"/>
      </c:valAx>
      <c:valAx>
        <c:axId val="247249088"/>
        <c:scaling>
          <c:orientation val="minMax"/>
        </c:scaling>
        <c:delete val="1"/>
        <c:axPos val="r"/>
        <c:numFmt formatCode="#,##0.00" sourceLinked="1"/>
        <c:majorTickMark val="out"/>
        <c:minorTickMark val="none"/>
        <c:tickLblPos val="nextTo"/>
        <c:crossAx val="247249664"/>
        <c:crosses val="max"/>
        <c:crossBetween val="midCat"/>
      </c:valAx>
      <c:valAx>
        <c:axId val="247249664"/>
        <c:scaling>
          <c:orientation val="minMax"/>
        </c:scaling>
        <c:delete val="1"/>
        <c:axPos val="b"/>
        <c:majorTickMark val="out"/>
        <c:minorTickMark val="none"/>
        <c:tickLblPos val="nextTo"/>
        <c:crossAx val="247249088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Flat!$B$26</c:f>
              <c:strCache>
                <c:ptCount val="1"/>
                <c:pt idx="0">
                  <c:v>Yield Effect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Flat!$E$4:$F$4</c:f>
              <c:strCache>
                <c:ptCount val="2"/>
                <c:pt idx="0">
                  <c:v>EZDK</c:v>
                </c:pt>
                <c:pt idx="1">
                  <c:v>EFS</c:v>
                </c:pt>
              </c:strCache>
            </c:strRef>
          </c:cat>
          <c:val>
            <c:numRef>
              <c:f>Flat!$E$26:$F$26</c:f>
              <c:numCache>
                <c:formatCode>0.00</c:formatCode>
                <c:ptCount val="2"/>
                <c:pt idx="0">
                  <c:v>56.466211867701297</c:v>
                </c:pt>
                <c:pt idx="1">
                  <c:v>62.739931857113611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3-4EDD-BE96-7A36B8A882B4}"/>
            </c:ext>
          </c:extLst>
        </c:ser>
        <c:ser>
          <c:idx val="1"/>
          <c:order val="1"/>
          <c:tx>
            <c:strRef>
              <c:f>Flat!$B$27</c:f>
              <c:strCache>
                <c:ptCount val="1"/>
                <c:pt idx="0">
                  <c:v>Other Conversion Cost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Flat!$E$27:$F$27</c:f>
              <c:numCache>
                <c:formatCode>0.00</c:formatCode>
                <c:ptCount val="2"/>
                <c:pt idx="0">
                  <c:v>125.90860418212156</c:v>
                </c:pt>
                <c:pt idx="1">
                  <c:v>151.84056183720526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D3-4EDD-BE96-7A36B8A882B4}"/>
            </c:ext>
          </c:extLst>
        </c:ser>
        <c:ser>
          <c:idx val="2"/>
          <c:order val="2"/>
          <c:tx>
            <c:strRef>
              <c:f>Flat!$B$24</c:f>
              <c:strCache>
                <c:ptCount val="1"/>
                <c:pt idx="0">
                  <c:v>Material Price</c:v>
                </c:pt>
              </c:strCache>
            </c:strRef>
          </c:tx>
          <c:spPr>
            <a:solidFill>
              <a:schemeClr val="lt1"/>
            </a:solidFill>
            <a:ln w="25400" cap="flat" cmpd="sng" algn="ctr">
              <a:solidFill>
                <a:schemeClr val="accent3"/>
              </a:solidFill>
              <a:prstDash val="solid"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Flat!$E$24:$F$24</c:f>
              <c:numCache>
                <c:formatCode>0.00</c:formatCode>
                <c:ptCount val="2"/>
                <c:pt idx="0">
                  <c:v>260.50525170052913</c:v>
                </c:pt>
                <c:pt idx="1">
                  <c:v>264.65922114727823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D3-4EDD-BE96-7A36B8A88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6369536"/>
        <c:axId val="266437760"/>
      </c:barChart>
      <c:lineChart>
        <c:grouping val="standard"/>
        <c:varyColors val="0"/>
        <c:ser>
          <c:idx val="3"/>
          <c:order val="3"/>
          <c:tx>
            <c:strRef>
              <c:f>Flat!$B$30</c:f>
              <c:strCache>
                <c:ptCount val="1"/>
                <c:pt idx="0">
                  <c:v>Total Variable Manufacturing Cost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4.8944444444444443E-2"/>
                  <c:y val="-3.8541484397783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D3-4EDD-BE96-7A36B8A882B4}"/>
                </c:ext>
              </c:extLst>
            </c:dLbl>
            <c:numFmt formatCode="#,##0" sourceLinked="0"/>
            <c:spPr>
              <a:solidFill>
                <a:schemeClr val="lt1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Flat!$E$30:$F$30</c:f>
              <c:numCache>
                <c:formatCode>#,##0.00</c:formatCode>
                <c:ptCount val="2"/>
                <c:pt idx="0">
                  <c:v>442.880067750352</c:v>
                </c:pt>
                <c:pt idx="1">
                  <c:v>479.23971484159711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D3-4EDD-BE96-7A36B8A88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370048"/>
        <c:axId val="266438336"/>
      </c:lineChart>
      <c:catAx>
        <c:axId val="266369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6437760"/>
        <c:crosses val="autoZero"/>
        <c:auto val="1"/>
        <c:lblAlgn val="ctr"/>
        <c:lblOffset val="100"/>
        <c:noMultiLvlLbl val="0"/>
      </c:catAx>
      <c:valAx>
        <c:axId val="266437760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266369536"/>
        <c:crosses val="autoZero"/>
        <c:crossBetween val="between"/>
      </c:valAx>
      <c:valAx>
        <c:axId val="266438336"/>
        <c:scaling>
          <c:orientation val="minMax"/>
          <c:min val="340"/>
        </c:scaling>
        <c:delete val="1"/>
        <c:axPos val="r"/>
        <c:numFmt formatCode="#,##0.00" sourceLinked="1"/>
        <c:majorTickMark val="out"/>
        <c:minorTickMark val="none"/>
        <c:tickLblPos val="nextTo"/>
        <c:crossAx val="266370048"/>
        <c:crosses val="max"/>
        <c:crossBetween val="between"/>
      </c:valAx>
      <c:catAx>
        <c:axId val="266370048"/>
        <c:scaling>
          <c:orientation val="minMax"/>
        </c:scaling>
        <c:delete val="1"/>
        <c:axPos val="b"/>
        <c:majorTickMark val="out"/>
        <c:minorTickMark val="none"/>
        <c:tickLblPos val="nextTo"/>
        <c:crossAx val="266438336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Local Rebar </a:t>
            </a:r>
          </a:p>
          <a:p>
            <a:pPr>
              <a:defRPr sz="1100"/>
            </a:pPr>
            <a:r>
              <a:rPr lang="en-US" sz="1100"/>
              <a:t>Group</a:t>
            </a:r>
            <a:r>
              <a:rPr lang="en-US" sz="1100" baseline="0"/>
              <a:t> Sales by %</a:t>
            </a:r>
            <a:endParaRPr lang="en-US" sz="1100"/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chemeClr val="lt1"/>
              </a:solidFill>
              <a:ln w="25400" cap="flat" cmpd="sng" algn="ctr">
                <a:solidFill>
                  <a:schemeClr val="accent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46-49DF-A013-C203E8C92117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25400" cap="flat" cmpd="sng" algn="ctr">
                <a:solidFill>
                  <a:srgbClr val="00206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46-49DF-A013-C203E8C92117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46-49DF-A013-C203E8C92117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25400" cap="flat" cmpd="sng" algn="ctr">
                <a:solidFill>
                  <a:schemeClr val="accent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8246-49DF-A013-C203E8C9211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'Market Share'!$B$6:$B$9</c:f>
              <c:strCache>
                <c:ptCount val="4"/>
                <c:pt idx="0">
                  <c:v>EZDK</c:v>
                </c:pt>
                <c:pt idx="1">
                  <c:v>EFS</c:v>
                </c:pt>
                <c:pt idx="2">
                  <c:v>ERM</c:v>
                </c:pt>
                <c:pt idx="3">
                  <c:v>ESR</c:v>
                </c:pt>
              </c:strCache>
            </c:strRef>
          </c:cat>
          <c:val>
            <c:numRef>
              <c:f>'Market Share'!$E$14:$E$17</c:f>
              <c:numCache>
                <c:formatCode>0</c:formatCode>
                <c:ptCount val="4"/>
                <c:pt idx="0">
                  <c:v>37.037037037037038</c:v>
                </c:pt>
                <c:pt idx="1">
                  <c:v>25.925925925925924</c:v>
                </c:pt>
                <c:pt idx="2">
                  <c:v>11.111111111111111</c:v>
                </c:pt>
                <c:pt idx="3">
                  <c:v>25.925925925925924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46-49DF-A013-C203E8C9211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Ezz Steel Rebar market Share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chemeClr val="lt1"/>
              </a:solidFill>
              <a:ln w="25400" cap="flat" cmpd="sng" algn="ctr">
                <a:solidFill>
                  <a:srgbClr val="00206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93-4705-A814-4EC0BF06DD7D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25400" cap="flat" cmpd="sng" algn="ctr">
                <a:solidFill>
                  <a:schemeClr val="accent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93-4705-A814-4EC0BF06DD7D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'Market Share'!$H$12:$H$13</c:f>
              <c:strCache>
                <c:ptCount val="2"/>
                <c:pt idx="0">
                  <c:v>Ezz Steel</c:v>
                </c:pt>
                <c:pt idx="1">
                  <c:v>Other</c:v>
                </c:pt>
              </c:strCache>
            </c:strRef>
          </c:cat>
          <c:val>
            <c:numRef>
              <c:f>'Market Share'!$E$12:$E$13</c:f>
              <c:numCache>
                <c:formatCode>0.00</c:formatCode>
                <c:ptCount val="2"/>
                <c:pt idx="0">
                  <c:v>51.428571428571423</c:v>
                </c:pt>
                <c:pt idx="1">
                  <c:v>48.571428571428577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93-4705-A814-4EC0BF06DD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Ezz Steel Wire Rod market Share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chemeClr val="lt1"/>
              </a:solidFill>
              <a:ln w="25400" cap="flat" cmpd="sng" algn="ctr">
                <a:solidFill>
                  <a:srgbClr val="00206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62-4A0A-8D7B-A69A5043E8DE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25400" cap="flat" cmpd="sng" algn="ctr">
                <a:solidFill>
                  <a:schemeClr val="accent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62-4A0A-8D7B-A69A5043E8DE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'Market Share'!$H$12:$H$13</c:f>
              <c:strCache>
                <c:ptCount val="2"/>
                <c:pt idx="0">
                  <c:v>Ezz Steel</c:v>
                </c:pt>
                <c:pt idx="1">
                  <c:v>Other</c:v>
                </c:pt>
              </c:strCache>
            </c:strRef>
          </c:cat>
          <c:val>
            <c:numRef>
              <c:f>'Market Share'!$F$12:$F$13</c:f>
              <c:numCache>
                <c:formatCode>0.00</c:formatCode>
                <c:ptCount val="2"/>
                <c:pt idx="0">
                  <c:v>53.333333333333336</c:v>
                </c:pt>
                <c:pt idx="1">
                  <c:v>46.666666666666664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62-4A0A-8D7B-A69A5043E8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EZDK Monlthy</a:t>
            </a:r>
            <a:r>
              <a:rPr lang="en-US" sz="1200" baseline="0"/>
              <a:t>  Req. Ktons</a:t>
            </a:r>
            <a:endParaRPr lang="en-US" sz="120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lt1"/>
            </a:solidFill>
            <a:ln w="25400" cap="flat" cmpd="sng" algn="ctr">
              <a:solidFill>
                <a:schemeClr val="accent6"/>
              </a:solidFill>
              <a:prstDash val="solid"/>
            </a:ln>
            <a:effectLst/>
          </c:spPr>
          <c:invertIfNegative val="0"/>
          <c:dLbls>
            <c:numFmt formatCode="#,##0" sourceLinked="0"/>
            <c:spPr>
              <a:solidFill>
                <a:schemeClr val="lt1"/>
              </a:solidFill>
              <a:ln w="25400" cap="flat" cmpd="sng" algn="ctr">
                <a:solidFill>
                  <a:schemeClr val="accent6"/>
                </a:solidFill>
                <a:prstDash val="solid"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'Production Requirments'!$B$39:$B$45</c:f>
              <c:strCache>
                <c:ptCount val="7"/>
                <c:pt idx="0">
                  <c:v>Rebar</c:v>
                </c:pt>
                <c:pt idx="1">
                  <c:v>Wire Rod</c:v>
                </c:pt>
                <c:pt idx="2">
                  <c:v>HRC</c:v>
                </c:pt>
                <c:pt idx="3">
                  <c:v>Billet</c:v>
                </c:pt>
                <c:pt idx="4">
                  <c:v>DRI</c:v>
                </c:pt>
                <c:pt idx="5">
                  <c:v>IOP</c:v>
                </c:pt>
                <c:pt idx="6">
                  <c:v>Scrap</c:v>
                </c:pt>
              </c:strCache>
            </c:strRef>
          </c:cat>
          <c:val>
            <c:numRef>
              <c:f>'Production Requirments'!$E$39:$E$45</c:f>
              <c:numCache>
                <c:formatCode>0.00</c:formatCode>
                <c:ptCount val="7"/>
                <c:pt idx="0">
                  <c:v>100</c:v>
                </c:pt>
                <c:pt idx="1">
                  <c:v>50</c:v>
                </c:pt>
                <c:pt idx="2" formatCode="#,##0.00">
                  <c:v>85</c:v>
                </c:pt>
                <c:pt idx="3">
                  <c:v>158.03904297543593</c:v>
                </c:pt>
                <c:pt idx="4" formatCode="#,##0.00">
                  <c:v>232.53338941578698</c:v>
                </c:pt>
                <c:pt idx="5">
                  <c:v>348.80008412368051</c:v>
                </c:pt>
                <c:pt idx="6">
                  <c:v>58.088213108376323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D-4969-99D3-12477D27B6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66677760"/>
        <c:axId val="266444096"/>
      </c:barChart>
      <c:catAx>
        <c:axId val="26667776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266444096"/>
        <c:crosses val="autoZero"/>
        <c:auto val="1"/>
        <c:lblAlgn val="ctr"/>
        <c:lblOffset val="100"/>
        <c:noMultiLvlLbl val="0"/>
      </c:catAx>
      <c:valAx>
        <c:axId val="26644409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667776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baseline="0">
                <a:effectLst/>
              </a:rPr>
              <a:t>EFS Monlthy  Req. Ktons</a:t>
            </a:r>
            <a:endParaRPr lang="en-US" sz="1200">
              <a:effectLst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lt1"/>
            </a:solidFill>
            <a:ln w="25400" cap="flat" cmpd="sng" algn="ctr">
              <a:solidFill>
                <a:schemeClr val="accent1"/>
              </a:solidFill>
              <a:prstDash val="solid"/>
            </a:ln>
            <a:effectLst/>
          </c:spPr>
          <c:invertIfNegative val="0"/>
          <c:dLbls>
            <c:numFmt formatCode="#,##0" sourceLinked="0"/>
            <c:spPr>
              <a:solidFill>
                <a:schemeClr val="lt1"/>
              </a:solidFill>
              <a:ln w="25400" cap="flat" cmpd="sng" algn="ctr">
                <a:solidFill>
                  <a:schemeClr val="accent1"/>
                </a:solidFill>
                <a:prstDash val="solid"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'Production Requirments'!$B$39:$B$45</c:f>
              <c:strCache>
                <c:ptCount val="7"/>
                <c:pt idx="0">
                  <c:v>Rebar</c:v>
                </c:pt>
                <c:pt idx="1">
                  <c:v>Wire Rod</c:v>
                </c:pt>
                <c:pt idx="2">
                  <c:v>HRC</c:v>
                </c:pt>
                <c:pt idx="3">
                  <c:v>Billet</c:v>
                </c:pt>
                <c:pt idx="4">
                  <c:v>DRI</c:v>
                </c:pt>
                <c:pt idx="5">
                  <c:v>IOP</c:v>
                </c:pt>
                <c:pt idx="6">
                  <c:v>Scrap</c:v>
                </c:pt>
              </c:strCache>
            </c:strRef>
          </c:cat>
          <c:val>
            <c:numRef>
              <c:f>'Production Requirments'!$F$39:$F$45</c:f>
              <c:numCache>
                <c:formatCode>0.00</c:formatCode>
                <c:ptCount val="7"/>
                <c:pt idx="0">
                  <c:v>70</c:v>
                </c:pt>
                <c:pt idx="2">
                  <c:v>15</c:v>
                </c:pt>
                <c:pt idx="3">
                  <c:v>72.098053352559475</c:v>
                </c:pt>
                <c:pt idx="4">
                  <c:v>84.733675373779676</c:v>
                </c:pt>
                <c:pt idx="6">
                  <c:v>21.160117082717132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F-47EA-B445-89B5A4F22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7440640"/>
        <c:axId val="267355264"/>
      </c:barChart>
      <c:catAx>
        <c:axId val="26744064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267355264"/>
        <c:crosses val="autoZero"/>
        <c:auto val="1"/>
        <c:lblAlgn val="ctr"/>
        <c:lblOffset val="100"/>
        <c:noMultiLvlLbl val="0"/>
      </c:catAx>
      <c:valAx>
        <c:axId val="26735526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744064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baseline="0">
                <a:effectLst/>
              </a:rPr>
              <a:t>ERM Monlthy  Req. Ktons</a:t>
            </a:r>
            <a:endParaRPr lang="en-US" sz="1200">
              <a:effectLst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'Production Requirments'!$B$38</c:f>
              <c:strCache>
                <c:ptCount val="1"/>
                <c:pt idx="0">
                  <c:v>Monthly Production Summary</c:v>
                </c:pt>
              </c:strCache>
            </c:strRef>
          </c:tx>
          <c:spPr>
            <a:solidFill>
              <a:schemeClr val="lt1"/>
            </a:solidFill>
            <a:ln w="25400" cap="flat" cmpd="sng" algn="ctr">
              <a:solidFill>
                <a:schemeClr val="accent3"/>
              </a:solidFill>
              <a:prstDash val="solid"/>
            </a:ln>
            <a:effectLst/>
          </c:spPr>
          <c:invertIfNegative val="0"/>
          <c:dLbls>
            <c:numFmt formatCode="#,##0" sourceLinked="0"/>
            <c:spPr>
              <a:solidFill>
                <a:schemeClr val="lt1"/>
              </a:solidFill>
              <a:ln w="25400" cap="flat" cmpd="sng" algn="ctr">
                <a:solidFill>
                  <a:schemeClr val="accent3"/>
                </a:solidFill>
                <a:prstDash val="solid"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'Production Requirments'!$B$44</c:f>
              <c:strCache>
                <c:ptCount val="1"/>
                <c:pt idx="0">
                  <c:v>IOP</c:v>
                </c:pt>
              </c:strCache>
            </c:strRef>
          </c:cat>
          <c:val>
            <c:numRef>
              <c:f>'Production Requirments'!$G$44</c:f>
              <c:numCache>
                <c:formatCode>0.00</c:formatCode>
                <c:ptCount val="1"/>
                <c:pt idx="0">
                  <c:v>145.20102833062694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2-4E99-A41C-28013D0635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67441664"/>
        <c:axId val="267356992"/>
      </c:barChart>
      <c:catAx>
        <c:axId val="26744166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267356992"/>
        <c:crosses val="autoZero"/>
        <c:auto val="1"/>
        <c:lblAlgn val="ctr"/>
        <c:lblOffset val="100"/>
        <c:noMultiLvlLbl val="0"/>
      </c:catAx>
      <c:valAx>
        <c:axId val="26735699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744166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baseline="0">
                <a:effectLst/>
              </a:rPr>
              <a:t>ESR Monlthy  Req. Ktons</a:t>
            </a:r>
            <a:endParaRPr lang="en-US" sz="1200">
              <a:effectLst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lt1"/>
            </a:solidFill>
            <a:ln w="25400" cap="flat" cmpd="sng" algn="ctr">
              <a:solidFill>
                <a:schemeClr val="accent2"/>
              </a:solidFill>
              <a:prstDash val="solid"/>
            </a:ln>
            <a:effectLst/>
          </c:spPr>
          <c:invertIfNegative val="0"/>
          <c:dLbls>
            <c:numFmt formatCode="#,##0" sourceLinked="0"/>
            <c:spPr>
              <a:solidFill>
                <a:schemeClr val="lt1"/>
              </a:solidFill>
              <a:ln w="25400" cap="flat" cmpd="sng" algn="ctr">
                <a:solidFill>
                  <a:schemeClr val="accent2"/>
                </a:solidFill>
                <a:prstDash val="solid"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'Production Requirments'!$B$39:$B$45</c:f>
              <c:strCache>
                <c:ptCount val="7"/>
                <c:pt idx="0">
                  <c:v>Rebar</c:v>
                </c:pt>
                <c:pt idx="1">
                  <c:v>Wire Rod</c:v>
                </c:pt>
                <c:pt idx="2">
                  <c:v>HRC</c:v>
                </c:pt>
                <c:pt idx="3">
                  <c:v>Billet</c:v>
                </c:pt>
                <c:pt idx="4">
                  <c:v>DRI</c:v>
                </c:pt>
                <c:pt idx="5">
                  <c:v>IOP</c:v>
                </c:pt>
                <c:pt idx="6">
                  <c:v>Scrap</c:v>
                </c:pt>
              </c:strCache>
            </c:strRef>
          </c:cat>
          <c:val>
            <c:numRef>
              <c:f>'Production Requirments'!$H$39:$H$45</c:f>
              <c:numCache>
                <c:formatCode>0.00</c:formatCode>
                <c:ptCount val="7"/>
                <c:pt idx="0">
                  <c:v>70</c:v>
                </c:pt>
                <c:pt idx="3">
                  <c:v>72.297073632874145</c:v>
                </c:pt>
                <c:pt idx="4">
                  <c:v>16.805505277008397</c:v>
                </c:pt>
                <c:pt idx="6">
                  <c:v>67.222021108033573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2-4C46-889C-DCDCDC6086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67443712"/>
        <c:axId val="267358720"/>
      </c:barChart>
      <c:catAx>
        <c:axId val="26744371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267358720"/>
        <c:crosses val="autoZero"/>
        <c:auto val="1"/>
        <c:lblAlgn val="ctr"/>
        <c:lblOffset val="100"/>
        <c:noMultiLvlLbl val="0"/>
      </c:catAx>
      <c:valAx>
        <c:axId val="26735872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744371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>
        <c:manualLayout>
          <c:layoutTarget val="inner"/>
          <c:xMode val="edge"/>
          <c:yMode val="edge"/>
          <c:x val="3.9614173228346462E-2"/>
          <c:y val="0.19806943450250536"/>
          <c:w val="0.84857073914147829"/>
          <c:h val="0.4772032927702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Sheet2!$H$5</c:f>
              <c:strCache>
                <c:ptCount val="1"/>
                <c:pt idx="0">
                  <c:v>IOP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00C5-49C2-8B14-58C5166196CC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noFill/>
              </a:ln>
              <a:effectLst>
                <a:outerShdw blurRad="57150" dist="19050" dir="5400000" algn="ctr" rotWithShape="0">
                  <a:schemeClr val="bg1">
                    <a:alpha val="63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C5-49C2-8B14-58C5166196CC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>
                <a:outerShdw blurRad="57150" dist="19050" dir="5400000" algn="ctr" rotWithShape="0">
                  <a:schemeClr val="bg1">
                    <a:alpha val="63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C5-49C2-8B14-58C5166196CC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>
                <a:outerShdw blurRad="40000" dist="23000" dir="5400000" rotWithShape="0">
                  <a:srgbClr val="000000">
                    <a:alpha val="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0C5-49C2-8B14-58C5166196CC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9-00C5-49C2-8B14-58C5166196CC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C5-49C2-8B14-58C5166196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C5-49C2-8B14-58C5166196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C5-49C2-8B14-58C5166196CC}"/>
                </c:ext>
              </c:extLst>
            </c:dLbl>
            <c:dLbl>
              <c:idx val="4"/>
              <c:layout>
                <c:manualLayout>
                  <c:x val="9.1836734693877556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C5-49C2-8B14-58C516619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Sheet2!$I$4:$M$4</c:f>
              <c:strCache>
                <c:ptCount val="5"/>
                <c:pt idx="0">
                  <c:v>IOP</c:v>
                </c:pt>
                <c:pt idx="1">
                  <c:v>N Gas</c:v>
                </c:pt>
                <c:pt idx="2">
                  <c:v>Dep &amp; OH</c:v>
                </c:pt>
                <c:pt idx="3">
                  <c:v>Labor</c:v>
                </c:pt>
                <c:pt idx="4">
                  <c:v>Total DRI</c:v>
                </c:pt>
              </c:strCache>
            </c:strRef>
          </c:cat>
          <c:val>
            <c:numRef>
              <c:f>Sheet2!$I$5:$M$5</c:f>
              <c:numCache>
                <c:formatCode>0%</c:formatCode>
                <c:ptCount val="5"/>
                <c:pt idx="0">
                  <c:v>0.66361654892270205</c:v>
                </c:pt>
                <c:pt idx="1">
                  <c:v>0.66361654892270205</c:v>
                </c:pt>
                <c:pt idx="2">
                  <c:v>0.91230501733868152</c:v>
                </c:pt>
                <c:pt idx="3">
                  <c:v>0.9664994506629826</c:v>
                </c:pt>
                <c:pt idx="4">
                  <c:v>0.66361654892270205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C5-49C2-8B14-58C5166196CC}"/>
            </c:ext>
          </c:extLst>
        </c:ser>
        <c:ser>
          <c:idx val="1"/>
          <c:order val="1"/>
          <c:tx>
            <c:strRef>
              <c:f>Sheet2!$H$6</c:f>
              <c:strCache>
                <c:ptCount val="1"/>
                <c:pt idx="0">
                  <c:v>N Gas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dPt>
            <c:idx val="2"/>
            <c:invertIfNegative val="0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C-00C5-49C2-8B14-58C5166196CC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E-00C5-49C2-8B14-58C5166196CC}"/>
              </c:ext>
            </c:extLst>
          </c:dPt>
          <c:dLbls>
            <c:dLbl>
              <c:idx val="2"/>
              <c:layout>
                <c:manualLayout>
                  <c:x val="-6.2357556284179556E-17"/>
                  <c:y val="-6.734006734006733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0C5-49C2-8B14-58C5166196CC}"/>
                </c:ext>
              </c:extLst>
            </c:dLbl>
            <c:dLbl>
              <c:idx val="3"/>
              <c:layout>
                <c:manualLayout>
                  <c:x val="3.4013605442176869E-3"/>
                  <c:y val="-6.734006734006733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0C5-49C2-8B14-58C5166196CC}"/>
                </c:ext>
              </c:extLst>
            </c:dLbl>
            <c:dLbl>
              <c:idx val="4"/>
              <c:layout>
                <c:manualLayout>
                  <c:x val="9.1836734693877556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0C5-49C2-8B14-58C516619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Sheet2!$I$4:$M$4</c:f>
              <c:strCache>
                <c:ptCount val="5"/>
                <c:pt idx="0">
                  <c:v>IOP</c:v>
                </c:pt>
                <c:pt idx="1">
                  <c:v>N Gas</c:v>
                </c:pt>
                <c:pt idx="2">
                  <c:v>Dep &amp; OH</c:v>
                </c:pt>
                <c:pt idx="3">
                  <c:v>Labor</c:v>
                </c:pt>
                <c:pt idx="4">
                  <c:v>Total DRI</c:v>
                </c:pt>
              </c:strCache>
            </c:strRef>
          </c:cat>
          <c:val>
            <c:numRef>
              <c:f>Sheet2!$I$6:$M$6</c:f>
              <c:numCache>
                <c:formatCode>0%</c:formatCode>
                <c:ptCount val="5"/>
                <c:pt idx="1">
                  <c:v>0.24868846841597947</c:v>
                </c:pt>
                <c:pt idx="2">
                  <c:v>5.4194433324301107E-2</c:v>
                </c:pt>
                <c:pt idx="3">
                  <c:v>1.8102130344374183E-2</c:v>
                </c:pt>
                <c:pt idx="4">
                  <c:v>0.24868846841597947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0C5-49C2-8B14-58C5166196CC}"/>
            </c:ext>
          </c:extLst>
        </c:ser>
        <c:ser>
          <c:idx val="2"/>
          <c:order val="2"/>
          <c:tx>
            <c:strRef>
              <c:f>Sheet2!$H$7</c:f>
              <c:strCache>
                <c:ptCount val="1"/>
                <c:pt idx="0">
                  <c:v>Dep &amp; OH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dLbls>
            <c:dLbl>
              <c:idx val="4"/>
              <c:layout>
                <c:manualLayout>
                  <c:x val="9.1836734693877681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0C5-49C2-8B14-58C516619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Sheet2!$I$4:$M$4</c:f>
              <c:strCache>
                <c:ptCount val="5"/>
                <c:pt idx="0">
                  <c:v>IOP</c:v>
                </c:pt>
                <c:pt idx="1">
                  <c:v>N Gas</c:v>
                </c:pt>
                <c:pt idx="2">
                  <c:v>Dep &amp; OH</c:v>
                </c:pt>
                <c:pt idx="3">
                  <c:v>Labor</c:v>
                </c:pt>
                <c:pt idx="4">
                  <c:v>Total DRI</c:v>
                </c:pt>
              </c:strCache>
            </c:strRef>
          </c:cat>
          <c:val>
            <c:numRef>
              <c:f>Sheet2!$I$7:$M$7</c:f>
              <c:numCache>
                <c:formatCode>0%</c:formatCode>
                <c:ptCount val="5"/>
                <c:pt idx="4">
                  <c:v>5.4194433324301107E-2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0C5-49C2-8B14-58C5166196CC}"/>
            </c:ext>
          </c:extLst>
        </c:ser>
        <c:ser>
          <c:idx val="3"/>
          <c:order val="3"/>
          <c:tx>
            <c:strRef>
              <c:f>Sheet2!$H$8</c:f>
              <c:strCache>
                <c:ptCount val="1"/>
                <c:pt idx="0">
                  <c:v>Labor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4"/>
              <c:layout>
                <c:manualLayout>
                  <c:x val="9.1836734693877681E-2"/>
                  <c:y val="-4.838709677419354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0C5-49C2-8B14-58C5166196CC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Sheet2!$I$4:$M$4</c:f>
              <c:strCache>
                <c:ptCount val="5"/>
                <c:pt idx="0">
                  <c:v>IOP</c:v>
                </c:pt>
                <c:pt idx="1">
                  <c:v>N Gas</c:v>
                </c:pt>
                <c:pt idx="2">
                  <c:v>Dep &amp; OH</c:v>
                </c:pt>
                <c:pt idx="3">
                  <c:v>Labor</c:v>
                </c:pt>
                <c:pt idx="4">
                  <c:v>Total DRI</c:v>
                </c:pt>
              </c:strCache>
            </c:strRef>
          </c:cat>
          <c:val>
            <c:numRef>
              <c:f>Sheet2!$I$8:$M$8</c:f>
              <c:numCache>
                <c:formatCode>General</c:formatCode>
                <c:ptCount val="5"/>
                <c:pt idx="4" formatCode="0%">
                  <c:v>1.8102130344374183E-2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0C5-49C2-8B14-58C516619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9272704"/>
        <c:axId val="308675712"/>
      </c:barChart>
      <c:catAx>
        <c:axId val="29927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86757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8675712"/>
        <c:scaling>
          <c:orientation val="minMax"/>
          <c:max val="1"/>
          <c:min val="0"/>
        </c:scaling>
        <c:delete val="1"/>
        <c:axPos val="l"/>
        <c:numFmt formatCode="0%" sourceLinked="1"/>
        <c:majorTickMark val="out"/>
        <c:minorTickMark val="none"/>
        <c:tickLblPos val="nextTo"/>
        <c:crossAx val="299272704"/>
        <c:crosses val="autoZero"/>
        <c:crossBetween val="between"/>
        <c:majorUnit val="20"/>
        <c:minorUnit val="10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>
        <c:manualLayout>
          <c:layoutTarget val="inner"/>
          <c:xMode val="edge"/>
          <c:yMode val="edge"/>
          <c:x val="3.9614173228346462E-2"/>
          <c:y val="0.19806943450250536"/>
          <c:w val="0.84857073914147829"/>
          <c:h val="0.4772032927702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Sheet2!$H$15</c:f>
              <c:strCache>
                <c:ptCount val="1"/>
                <c:pt idx="0">
                  <c:v>Short Term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9ABF-4618-B7F2-5A784A37077F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noFill/>
              </a:ln>
              <a:effectLst>
                <a:outerShdw blurRad="57150" dist="19050" dir="5400000" algn="ctr" rotWithShape="0">
                  <a:schemeClr val="bg1">
                    <a:alpha val="63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BF-4618-B7F2-5A784A37077F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>
                <a:outerShdw blurRad="57150" dist="19050" dir="5400000" algn="ctr" rotWithShape="0">
                  <a:schemeClr val="bg1">
                    <a:alpha val="63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ABF-4618-B7F2-5A784A37077F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>
                <a:outerShdw blurRad="40000" dist="23000" dir="5400000" rotWithShape="0">
                  <a:srgbClr val="000000">
                    <a:alpha val="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ABF-4618-B7F2-5A784A37077F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>
                <a:outerShdw blurRad="40000" dist="23000" dir="5400000" rotWithShape="0">
                  <a:srgbClr val="000000">
                    <a:alpha val="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ABF-4618-B7F2-5A784A37077F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>
                <a:outerShdw blurRad="40000" dist="23000" dir="5400000" rotWithShape="0">
                  <a:srgbClr val="000000">
                    <a:alpha val="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ABF-4618-B7F2-5A784A37077F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F-4618-B7F2-5A784A37077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F-4618-B7F2-5A784A37077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F-4618-B7F2-5A784A37077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F-4618-B7F2-5A784A37077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F-4618-B7F2-5A784A37077F}"/>
                </c:ext>
              </c:extLst>
            </c:dLbl>
            <c:dLbl>
              <c:idx val="6"/>
              <c:layout>
                <c:manualLayout>
                  <c:x val="7.9187777388044681E-2"/>
                  <c:y val="-1.34680134680134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F-4618-B7F2-5A784A37077F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Sheet2!$I$14:$O$14</c:f>
              <c:strCache>
                <c:ptCount val="7"/>
                <c:pt idx="0">
                  <c:v>Main RM</c:v>
                </c:pt>
                <c:pt idx="1">
                  <c:v>Aux + Ref +Electrodes</c:v>
                </c:pt>
                <c:pt idx="2">
                  <c:v>Energy Ngas</c:v>
                </c:pt>
                <c:pt idx="3">
                  <c:v>Energy Electricty</c:v>
                </c:pt>
                <c:pt idx="4">
                  <c:v>Dep &amp; OH</c:v>
                </c:pt>
                <c:pt idx="5">
                  <c:v>Labor</c:v>
                </c:pt>
                <c:pt idx="6">
                  <c:v>Total Billet</c:v>
                </c:pt>
              </c:strCache>
            </c:strRef>
          </c:cat>
          <c:val>
            <c:numRef>
              <c:f>Sheet2!$I$15:$O$15</c:f>
              <c:numCache>
                <c:formatCode>0%</c:formatCode>
                <c:ptCount val="7"/>
                <c:pt idx="0">
                  <c:v>0.73111780182789121</c:v>
                </c:pt>
                <c:pt idx="1">
                  <c:v>0.73111780182789121</c:v>
                </c:pt>
                <c:pt idx="2">
                  <c:v>0.87035300808272831</c:v>
                </c:pt>
                <c:pt idx="3">
                  <c:v>0.87691477875923096</c:v>
                </c:pt>
                <c:pt idx="4">
                  <c:v>0.9421620189698473</c:v>
                </c:pt>
                <c:pt idx="5">
                  <c:v>0.95338488229125751</c:v>
                </c:pt>
                <c:pt idx="6">
                  <c:v>0.73111780182789121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ABF-4618-B7F2-5A784A37077F}"/>
            </c:ext>
          </c:extLst>
        </c:ser>
        <c:ser>
          <c:idx val="1"/>
          <c:order val="1"/>
          <c:tx>
            <c:strRef>
              <c:f>Sheet2!$H$16</c:f>
              <c:strCache>
                <c:ptCount val="1"/>
                <c:pt idx="0">
                  <c:v>Long Term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dPt>
            <c:idx val="2"/>
            <c:invertIfNegative val="0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F-9ABF-4618-B7F2-5A784A37077F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1-9ABF-4618-B7F2-5A784A37077F}"/>
              </c:ext>
            </c:extLst>
          </c:dPt>
          <c:dLbls>
            <c:dLbl>
              <c:idx val="6"/>
              <c:layout>
                <c:manualLayout>
                  <c:x val="7.2277308921580949E-2"/>
                  <c:y val="7.407354383732336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ABF-4618-B7F2-5A784A37077F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Sheet2!$I$14:$O$14</c:f>
              <c:strCache>
                <c:ptCount val="7"/>
                <c:pt idx="0">
                  <c:v>Main RM</c:v>
                </c:pt>
                <c:pt idx="1">
                  <c:v>Aux + Ref +Electrodes</c:v>
                </c:pt>
                <c:pt idx="2">
                  <c:v>Energy Ngas</c:v>
                </c:pt>
                <c:pt idx="3">
                  <c:v>Energy Electricty</c:v>
                </c:pt>
                <c:pt idx="4">
                  <c:v>Dep &amp; OH</c:v>
                </c:pt>
                <c:pt idx="5">
                  <c:v>Labor</c:v>
                </c:pt>
                <c:pt idx="6">
                  <c:v>Total Billet</c:v>
                </c:pt>
              </c:strCache>
            </c:strRef>
          </c:cat>
          <c:val>
            <c:numRef>
              <c:f>Sheet2!$I$16:$O$16</c:f>
              <c:numCache>
                <c:formatCode>0%</c:formatCode>
                <c:ptCount val="7"/>
                <c:pt idx="1">
                  <c:v>0.13923520625483712</c:v>
                </c:pt>
                <c:pt idx="2">
                  <c:v>6.5617706765026991E-3</c:v>
                </c:pt>
                <c:pt idx="3">
                  <c:v>6.5247240210616356E-2</c:v>
                </c:pt>
                <c:pt idx="4">
                  <c:v>1.1222863321410205E-2</c:v>
                </c:pt>
                <c:pt idx="5">
                  <c:v>3.1352852230720395E-2</c:v>
                </c:pt>
                <c:pt idx="6">
                  <c:v>0.13923520625483712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ABF-4618-B7F2-5A784A37077F}"/>
            </c:ext>
          </c:extLst>
        </c:ser>
        <c:ser>
          <c:idx val="2"/>
          <c:order val="2"/>
          <c:tx>
            <c:strRef>
              <c:f>Sheet2!$H$17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dLbls>
            <c:dLbl>
              <c:idx val="6"/>
              <c:layout>
                <c:manualLayout>
                  <c:x val="7.2384924028354947E-2"/>
                  <c:y val="-0.154882154882154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ABF-4618-B7F2-5A784A37077F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Sheet2!$I$14:$O$14</c:f>
              <c:strCache>
                <c:ptCount val="7"/>
                <c:pt idx="0">
                  <c:v>Main RM</c:v>
                </c:pt>
                <c:pt idx="1">
                  <c:v>Aux + Ref +Electrodes</c:v>
                </c:pt>
                <c:pt idx="2">
                  <c:v>Energy Ngas</c:v>
                </c:pt>
                <c:pt idx="3">
                  <c:v>Energy Electricty</c:v>
                </c:pt>
                <c:pt idx="4">
                  <c:v>Dep &amp; OH</c:v>
                </c:pt>
                <c:pt idx="5">
                  <c:v>Labor</c:v>
                </c:pt>
                <c:pt idx="6">
                  <c:v>Total Billet</c:v>
                </c:pt>
              </c:strCache>
            </c:strRef>
          </c:cat>
          <c:val>
            <c:numRef>
              <c:f>Sheet2!$I$17:$O$17</c:f>
              <c:numCache>
                <c:formatCode>0%</c:formatCode>
                <c:ptCount val="7"/>
                <c:pt idx="6">
                  <c:v>6.5617706765026991E-3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ABF-4618-B7F2-5A784A37077F}"/>
            </c:ext>
          </c:extLst>
        </c:ser>
        <c:ser>
          <c:idx val="3"/>
          <c:order val="3"/>
          <c:tx>
            <c:strRef>
              <c:f>Sheet2!$H$18</c:f>
              <c:strCache>
                <c:ptCount val="1"/>
                <c:pt idx="0">
                  <c:v>Labor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6"/>
              <c:layout>
                <c:manualLayout>
                  <c:x val="7.0896408812656922E-2"/>
                  <c:y val="-1.34680134680134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ABF-4618-B7F2-5A784A37077F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Sheet2!$I$14:$O$14</c:f>
              <c:strCache>
                <c:ptCount val="7"/>
                <c:pt idx="0">
                  <c:v>Main RM</c:v>
                </c:pt>
                <c:pt idx="1">
                  <c:v>Aux + Ref +Electrodes</c:v>
                </c:pt>
                <c:pt idx="2">
                  <c:v>Energy Ngas</c:v>
                </c:pt>
                <c:pt idx="3">
                  <c:v>Energy Electricty</c:v>
                </c:pt>
                <c:pt idx="4">
                  <c:v>Dep &amp; OH</c:v>
                </c:pt>
                <c:pt idx="5">
                  <c:v>Labor</c:v>
                </c:pt>
                <c:pt idx="6">
                  <c:v>Total Billet</c:v>
                </c:pt>
              </c:strCache>
            </c:strRef>
          </c:cat>
          <c:val>
            <c:numRef>
              <c:f>Sheet2!$I$18:$O$18</c:f>
              <c:numCache>
                <c:formatCode>General</c:formatCode>
                <c:ptCount val="7"/>
                <c:pt idx="6" formatCode="0%">
                  <c:v>6.5247240210616356E-2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ABF-4618-B7F2-5A784A37077F}"/>
            </c:ext>
          </c:extLst>
        </c:ser>
        <c:ser>
          <c:idx val="4"/>
          <c:order val="4"/>
          <c:tx>
            <c:strRef>
              <c:f>Sheet2!$H$19</c:f>
              <c:strCache>
                <c:ptCount val="1"/>
                <c:pt idx="0">
                  <c:v>x</c:v>
                </c:pt>
              </c:strCache>
            </c:strRef>
          </c:tx>
          <c:invertIfNegative val="0"/>
          <c:dLbls>
            <c:dLbl>
              <c:idx val="6"/>
              <c:layout>
                <c:manualLayout>
                  <c:x val="7.090276176171513E-2"/>
                  <c:y val="8.0807550571330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ABF-4618-B7F2-5A784A37077F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Sheet2!$I$14:$O$14</c:f>
              <c:strCache>
                <c:ptCount val="7"/>
                <c:pt idx="0">
                  <c:v>Main RM</c:v>
                </c:pt>
                <c:pt idx="1">
                  <c:v>Aux + Ref +Electrodes</c:v>
                </c:pt>
                <c:pt idx="2">
                  <c:v>Energy Ngas</c:v>
                </c:pt>
                <c:pt idx="3">
                  <c:v>Energy Electricty</c:v>
                </c:pt>
                <c:pt idx="4">
                  <c:v>Dep &amp; OH</c:v>
                </c:pt>
                <c:pt idx="5">
                  <c:v>Labor</c:v>
                </c:pt>
                <c:pt idx="6">
                  <c:v>Total Billet</c:v>
                </c:pt>
              </c:strCache>
            </c:strRef>
          </c:cat>
          <c:val>
            <c:numRef>
              <c:f>Sheet2!$I$19:$O$19</c:f>
              <c:numCache>
                <c:formatCode>General</c:formatCode>
                <c:ptCount val="7"/>
                <c:pt idx="6" formatCode="0%">
                  <c:v>1.1222863321410205E-2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ABF-4618-B7F2-5A784A37077F}"/>
            </c:ext>
          </c:extLst>
        </c:ser>
        <c:ser>
          <c:idx val="5"/>
          <c:order val="5"/>
          <c:tx>
            <c:strRef>
              <c:f>Sheet2!$H$20</c:f>
              <c:strCache>
                <c:ptCount val="1"/>
                <c:pt idx="0">
                  <c:v>xx</c:v>
                </c:pt>
              </c:strCache>
            </c:strRef>
          </c:tx>
          <c:invertIfNegative val="0"/>
          <c:dLbls>
            <c:dLbl>
              <c:idx val="6"/>
              <c:layout>
                <c:manualLayout>
                  <c:x val="7.090276176171513E-2"/>
                  <c:y val="-4.040404040404038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ABF-4618-B7F2-5A784A37077F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Sheet2!$I$14:$O$14</c:f>
              <c:strCache>
                <c:ptCount val="7"/>
                <c:pt idx="0">
                  <c:v>Main RM</c:v>
                </c:pt>
                <c:pt idx="1">
                  <c:v>Aux + Ref +Electrodes</c:v>
                </c:pt>
                <c:pt idx="2">
                  <c:v>Energy Ngas</c:v>
                </c:pt>
                <c:pt idx="3">
                  <c:v>Energy Electricty</c:v>
                </c:pt>
                <c:pt idx="4">
                  <c:v>Dep &amp; OH</c:v>
                </c:pt>
                <c:pt idx="5">
                  <c:v>Labor</c:v>
                </c:pt>
                <c:pt idx="6">
                  <c:v>Total Billet</c:v>
                </c:pt>
              </c:strCache>
            </c:strRef>
          </c:cat>
          <c:val>
            <c:numRef>
              <c:f>Sheet2!$I$20:$O$20</c:f>
              <c:numCache>
                <c:formatCode>General</c:formatCode>
                <c:ptCount val="7"/>
                <c:pt idx="6" formatCode="0%">
                  <c:v>3.1352852230720395E-2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ABF-4618-B7F2-5A784A37077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72005632"/>
        <c:axId val="260164992"/>
      </c:barChart>
      <c:catAx>
        <c:axId val="27200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0164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0164992"/>
        <c:scaling>
          <c:orientation val="minMax"/>
          <c:max val="1"/>
          <c:min val="0"/>
        </c:scaling>
        <c:delete val="1"/>
        <c:axPos val="l"/>
        <c:numFmt formatCode="0%" sourceLinked="1"/>
        <c:majorTickMark val="out"/>
        <c:minorTickMark val="none"/>
        <c:tickLblPos val="nextTo"/>
        <c:crossAx val="272005632"/>
        <c:crosses val="autoZero"/>
        <c:crossBetween val="between"/>
        <c:majorUnit val="20"/>
        <c:minorUnit val="10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>
        <c:manualLayout>
          <c:layoutTarget val="inner"/>
          <c:xMode val="edge"/>
          <c:yMode val="edge"/>
          <c:x val="3.9614173228346462E-2"/>
          <c:y val="0.19806943450250536"/>
          <c:w val="0.84857073914147829"/>
          <c:h val="0.4772032927702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Sheet2!$H$24</c:f>
              <c:strCache>
                <c:ptCount val="1"/>
                <c:pt idx="0">
                  <c:v>RM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740D-4220-9E80-4B60B4B801A1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noFill/>
              </a:ln>
              <a:effectLst>
                <a:outerShdw blurRad="57150" dist="19050" dir="5400000" algn="ctr" rotWithShape="0">
                  <a:schemeClr val="bg1">
                    <a:alpha val="63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0D-4220-9E80-4B60B4B801A1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>
                <a:outerShdw blurRad="57150" dist="19050" dir="5400000" algn="ctr" rotWithShape="0">
                  <a:schemeClr val="bg1">
                    <a:alpha val="63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40D-4220-9E80-4B60B4B801A1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>
                <a:outerShdw blurRad="40000" dist="23000" dir="5400000" rotWithShape="0">
                  <a:srgbClr val="000000">
                    <a:alpha val="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40D-4220-9E80-4B60B4B801A1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9-740D-4220-9E80-4B60B4B801A1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0D-4220-9E80-4B60B4B801A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0D-4220-9E80-4B60B4B801A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40D-4220-9E80-4B60B4B801A1}"/>
                </c:ext>
              </c:extLst>
            </c:dLbl>
            <c:dLbl>
              <c:idx val="4"/>
              <c:layout>
                <c:manualLayout>
                  <c:x val="9.1836734693877556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40D-4220-9E80-4B60B4B801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Sheet2!$I$23:$M$23</c:f>
              <c:strCache>
                <c:ptCount val="5"/>
                <c:pt idx="0">
                  <c:v>RM</c:v>
                </c:pt>
                <c:pt idx="1">
                  <c:v>Energy Electricty</c:v>
                </c:pt>
                <c:pt idx="2">
                  <c:v>Dep &amp; OH</c:v>
                </c:pt>
                <c:pt idx="3">
                  <c:v>Labor</c:v>
                </c:pt>
                <c:pt idx="4">
                  <c:v>Total Rebar</c:v>
                </c:pt>
              </c:strCache>
            </c:strRef>
          </c:cat>
          <c:val>
            <c:numRef>
              <c:f>Sheet2!$I$24:$M$24</c:f>
              <c:numCache>
                <c:formatCode>0%</c:formatCode>
                <c:ptCount val="5"/>
                <c:pt idx="0">
                  <c:v>0.93403859108553222</c:v>
                </c:pt>
                <c:pt idx="1">
                  <c:v>0.93403859108553222</c:v>
                </c:pt>
                <c:pt idx="2">
                  <c:v>0.94515510608089526</c:v>
                </c:pt>
                <c:pt idx="3">
                  <c:v>0.96002509478828046</c:v>
                </c:pt>
                <c:pt idx="4">
                  <c:v>0.93403859108553222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0D-4220-9E80-4B60B4B801A1}"/>
            </c:ext>
          </c:extLst>
        </c:ser>
        <c:ser>
          <c:idx val="1"/>
          <c:order val="1"/>
          <c:tx>
            <c:strRef>
              <c:f>Sheet2!$H$25</c:f>
              <c:strCache>
                <c:ptCount val="1"/>
                <c:pt idx="0">
                  <c:v>Energy Ngas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dPt>
            <c:idx val="2"/>
            <c:invertIfNegative val="0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C-740D-4220-9E80-4B60B4B801A1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E-740D-4220-9E80-4B60B4B801A1}"/>
              </c:ext>
            </c:extLst>
          </c:dPt>
          <c:dLbls>
            <c:dLbl>
              <c:idx val="2"/>
              <c:layout>
                <c:manualLayout>
                  <c:x val="-6.2357556284179556E-17"/>
                  <c:y val="-6.734006734006733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40D-4220-9E80-4B60B4B801A1}"/>
                </c:ext>
              </c:extLst>
            </c:dLbl>
            <c:dLbl>
              <c:idx val="3"/>
              <c:layout>
                <c:manualLayout>
                  <c:x val="3.4013605442176869E-3"/>
                  <c:y val="-6.734006734006733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40D-4220-9E80-4B60B4B801A1}"/>
                </c:ext>
              </c:extLst>
            </c:dLbl>
            <c:dLbl>
              <c:idx val="4"/>
              <c:layout>
                <c:manualLayout>
                  <c:x val="9.1836734693877556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40D-4220-9E80-4B60B4B801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Sheet2!$I$23:$M$23</c:f>
              <c:strCache>
                <c:ptCount val="5"/>
                <c:pt idx="0">
                  <c:v>RM</c:v>
                </c:pt>
                <c:pt idx="1">
                  <c:v>Energy Electricty</c:v>
                </c:pt>
                <c:pt idx="2">
                  <c:v>Dep &amp; OH</c:v>
                </c:pt>
                <c:pt idx="3">
                  <c:v>Labor</c:v>
                </c:pt>
                <c:pt idx="4">
                  <c:v>Total Rebar</c:v>
                </c:pt>
              </c:strCache>
            </c:strRef>
          </c:cat>
          <c:val>
            <c:numRef>
              <c:f>Sheet2!$I$25:$M$25</c:f>
              <c:numCache>
                <c:formatCode>0%</c:formatCode>
                <c:ptCount val="5"/>
                <c:pt idx="1">
                  <c:v>1.1116514995363076E-2</c:v>
                </c:pt>
                <c:pt idx="2">
                  <c:v>1.4869988707385245E-2</c:v>
                </c:pt>
                <c:pt idx="3">
                  <c:v>2.6783494857386597E-2</c:v>
                </c:pt>
                <c:pt idx="4">
                  <c:v>1.1116514995363076E-2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40D-4220-9E80-4B60B4B801A1}"/>
            </c:ext>
          </c:extLst>
        </c:ser>
        <c:ser>
          <c:idx val="2"/>
          <c:order val="2"/>
          <c:tx>
            <c:strRef>
              <c:f>Sheet2!$H$26</c:f>
              <c:strCache>
                <c:ptCount val="1"/>
                <c:pt idx="0">
                  <c:v>Dep &amp; OH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dLbls>
            <c:dLbl>
              <c:idx val="4"/>
              <c:layout>
                <c:manualLayout>
                  <c:x val="9.1836734693877681E-2"/>
                  <c:y val="8.754208754208754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40D-4220-9E80-4B60B4B801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Sheet2!$I$23:$M$23</c:f>
              <c:strCache>
                <c:ptCount val="5"/>
                <c:pt idx="0">
                  <c:v>RM</c:v>
                </c:pt>
                <c:pt idx="1">
                  <c:v>Energy Electricty</c:v>
                </c:pt>
                <c:pt idx="2">
                  <c:v>Dep &amp; OH</c:v>
                </c:pt>
                <c:pt idx="3">
                  <c:v>Labor</c:v>
                </c:pt>
                <c:pt idx="4">
                  <c:v>Total Rebar</c:v>
                </c:pt>
              </c:strCache>
            </c:strRef>
          </c:cat>
          <c:val>
            <c:numRef>
              <c:f>Sheet2!$I$26:$M$26</c:f>
              <c:numCache>
                <c:formatCode>0%</c:formatCode>
                <c:ptCount val="5"/>
                <c:pt idx="4">
                  <c:v>1.4869988707385245E-2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40D-4220-9E80-4B60B4B801A1}"/>
            </c:ext>
          </c:extLst>
        </c:ser>
        <c:ser>
          <c:idx val="3"/>
          <c:order val="3"/>
          <c:tx>
            <c:strRef>
              <c:f>Sheet2!$H$27</c:f>
              <c:strCache>
                <c:ptCount val="1"/>
                <c:pt idx="0">
                  <c:v>Labor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4"/>
              <c:layout>
                <c:manualLayout>
                  <c:x val="9.1836734693877681E-2"/>
                  <c:y val="-4.838709677419354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40D-4220-9E80-4B60B4B801A1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Sheet2!$I$23:$M$23</c:f>
              <c:strCache>
                <c:ptCount val="5"/>
                <c:pt idx="0">
                  <c:v>RM</c:v>
                </c:pt>
                <c:pt idx="1">
                  <c:v>Energy Electricty</c:v>
                </c:pt>
                <c:pt idx="2">
                  <c:v>Dep &amp; OH</c:v>
                </c:pt>
                <c:pt idx="3">
                  <c:v>Labor</c:v>
                </c:pt>
                <c:pt idx="4">
                  <c:v>Total Rebar</c:v>
                </c:pt>
              </c:strCache>
            </c:strRef>
          </c:cat>
          <c:val>
            <c:numRef>
              <c:f>Sheet2!$I$27:$M$27</c:f>
              <c:numCache>
                <c:formatCode>General</c:formatCode>
                <c:ptCount val="5"/>
                <c:pt idx="4" formatCode="0%">
                  <c:v>2.6783494857386597E-2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40D-4220-9E80-4B60B4B80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9271168"/>
        <c:axId val="308709632"/>
      </c:barChart>
      <c:catAx>
        <c:axId val="29927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8709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8709632"/>
        <c:scaling>
          <c:orientation val="minMax"/>
          <c:max val="1"/>
          <c:min val="0"/>
        </c:scaling>
        <c:delete val="1"/>
        <c:axPos val="l"/>
        <c:numFmt formatCode="0%" sourceLinked="1"/>
        <c:majorTickMark val="out"/>
        <c:minorTickMark val="none"/>
        <c:tickLblPos val="nextTo"/>
        <c:crossAx val="299271168"/>
        <c:crosses val="autoZero"/>
        <c:crossBetween val="between"/>
        <c:majorUnit val="20"/>
        <c:minorUnit val="10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Total Production Cost for EZZ Group EGP/t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Sheet4!$B$25</c:f>
              <c:strCache>
                <c:ptCount val="1"/>
                <c:pt idx="0">
                  <c:v>Total Production Cost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 w="25400" cap="flat" cmpd="sng" algn="ctr">
              <a:solidFill>
                <a:schemeClr val="accent6"/>
              </a:solidFill>
              <a:prstDash val="solid"/>
            </a:ln>
            <a:effectLst/>
          </c:spPr>
          <c:invertIfNegative val="0"/>
          <c:dLbls>
            <c:spPr>
              <a:solidFill>
                <a:schemeClr val="lt1"/>
              </a:solidFill>
              <a:ln w="25400" cap="flat" cmpd="sng" algn="ctr">
                <a:solidFill>
                  <a:schemeClr val="accent6"/>
                </a:solidFill>
                <a:prstDash val="solid"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(Sheet4!$E$5,Sheet4!$H$5,Sheet4!$K$5)</c:f>
              <c:strCache>
                <c:ptCount val="3"/>
                <c:pt idx="0">
                  <c:v>EZDK Adj</c:v>
                </c:pt>
                <c:pt idx="1">
                  <c:v>ESR</c:v>
                </c:pt>
                <c:pt idx="2">
                  <c:v>ERM</c:v>
                </c:pt>
              </c:strCache>
            </c:strRef>
          </c:cat>
          <c:val>
            <c:numRef>
              <c:f>(Sheet4!$E$26,Sheet4!$H$26,Sheet4!$K$26)</c:f>
              <c:numCache>
                <c:formatCode>#,##0</c:formatCode>
                <c:ptCount val="3"/>
                <c:pt idx="0">
                  <c:v>9729.0927975648028</c:v>
                </c:pt>
                <c:pt idx="1">
                  <c:v>9909.2420403525757</c:v>
                </c:pt>
                <c:pt idx="2">
                  <c:v>10148.44156477953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A-474C-AA3E-62974DD87D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5867904"/>
        <c:axId val="292461312"/>
      </c:barChart>
      <c:catAx>
        <c:axId val="558679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accent6">
                <a:shade val="95000"/>
                <a:satMod val="105000"/>
              </a:schemeClr>
            </a:solidFill>
            <a:prstDash val="solid"/>
          </a:ln>
          <a:effectLst/>
        </c:spPr>
        <c:txPr>
          <a:bodyPr/>
          <a:lstStyle/>
          <a:p>
            <a:pPr>
              <a:defRPr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61312"/>
        <c:crosses val="autoZero"/>
        <c:auto val="1"/>
        <c:lblAlgn val="ctr"/>
        <c:lblOffset val="100"/>
        <c:noMultiLvlLbl val="0"/>
      </c:catAx>
      <c:valAx>
        <c:axId val="292461312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5586790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Total Production Cost for</a:t>
            </a:r>
            <a:r>
              <a:rPr lang="en-US" sz="1400" baseline="0"/>
              <a:t> Others EGP/t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Sheet4!$B$25</c:f>
              <c:strCache>
                <c:ptCount val="1"/>
                <c:pt idx="0">
                  <c:v>Total Production Cost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25400" cap="flat" cmpd="sng" algn="ctr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  <a:effectLst/>
          </c:spPr>
          <c:invertIfNegative val="0"/>
          <c:dLbls>
            <c:spPr>
              <a:solidFill>
                <a:schemeClr val="lt1"/>
              </a:solidFill>
              <a:ln w="25400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(Sheet4!$E$4,Sheet4!$H$4,Sheet4!$K$4)</c:f>
              <c:strCache>
                <c:ptCount val="3"/>
                <c:pt idx="0">
                  <c:v>Integrated</c:v>
                </c:pt>
                <c:pt idx="1">
                  <c:v>Semi Integrated</c:v>
                </c:pt>
                <c:pt idx="2">
                  <c:v>Re-rollers</c:v>
                </c:pt>
              </c:strCache>
            </c:strRef>
          </c:cat>
          <c:val>
            <c:numRef>
              <c:f>(Sheet4!$F$26,Sheet4!$I$26,Sheet4!$L$26)</c:f>
              <c:numCache>
                <c:formatCode>#,##0</c:formatCode>
                <c:ptCount val="3"/>
                <c:pt idx="0">
                  <c:v>10306.598333333335</c:v>
                </c:pt>
                <c:pt idx="1">
                  <c:v>9633.3447319220213</c:v>
                </c:pt>
                <c:pt idx="2">
                  <c:v>10228.804761680001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3-4585-AEF1-BBA10BC19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439424"/>
        <c:axId val="308712512"/>
      </c:barChart>
      <c:catAx>
        <c:axId val="158439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>
                <a:shade val="95000"/>
                <a:satMod val="105000"/>
              </a:schemeClr>
            </a:solidFill>
            <a:prstDash val="solid"/>
          </a:ln>
          <a:effectLst/>
        </c:spPr>
        <c:txPr>
          <a:bodyPr/>
          <a:lstStyle/>
          <a:p>
            <a:pPr>
              <a:defRPr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12512"/>
        <c:crosses val="autoZero"/>
        <c:auto val="1"/>
        <c:lblAlgn val="ctr"/>
        <c:lblOffset val="100"/>
        <c:noMultiLvlLbl val="0"/>
      </c:catAx>
      <c:valAx>
        <c:axId val="308712512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5843942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1</xdr:row>
      <xdr:rowOff>152400</xdr:rowOff>
    </xdr:from>
    <xdr:to>
      <xdr:col>14</xdr:col>
      <xdr:colOff>485775</xdr:colOff>
      <xdr:row>22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3</xdr:row>
      <xdr:rowOff>114300</xdr:rowOff>
    </xdr:from>
    <xdr:to>
      <xdr:col>15</xdr:col>
      <xdr:colOff>571500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390525</xdr:colOff>
      <xdr:row>2</xdr:row>
      <xdr:rowOff>19050</xdr:rowOff>
    </xdr:from>
    <xdr:to>
      <xdr:col>16</xdr:col>
      <xdr:colOff>85725</xdr:colOff>
      <xdr:row>33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4</xdr:row>
      <xdr:rowOff>14287</xdr:rowOff>
    </xdr:from>
    <xdr:to>
      <xdr:col>11</xdr:col>
      <xdr:colOff>133350</xdr:colOff>
      <xdr:row>31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1</xdr:row>
      <xdr:rowOff>166686</xdr:rowOff>
    </xdr:from>
    <xdr:to>
      <xdr:col>14</xdr:col>
      <xdr:colOff>95250</xdr:colOff>
      <xdr:row>29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274981</xdr:colOff>
      <xdr:row>0</xdr:row>
      <xdr:rowOff>79306</xdr:rowOff>
    </xdr:from>
    <xdr:to>
      <xdr:col>11</xdr:col>
      <xdr:colOff>570256</xdr:colOff>
      <xdr:row>12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295275</xdr:colOff>
      <xdr:row>13</xdr:row>
      <xdr:rowOff>124240</xdr:rowOff>
    </xdr:from>
    <xdr:to>
      <xdr:col>11</xdr:col>
      <xdr:colOff>438150</xdr:colOff>
      <xdr:row>25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514350</xdr:colOff>
      <xdr:row>25</xdr:row>
      <xdr:rowOff>47625</xdr:rowOff>
    </xdr:from>
    <xdr:to>
      <xdr:col>11</xdr:col>
      <xdr:colOff>238125</xdr:colOff>
      <xdr:row>37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0</xdr:row>
      <xdr:rowOff>180975</xdr:rowOff>
    </xdr:from>
    <xdr:to>
      <xdr:col>16</xdr:col>
      <xdr:colOff>438150</xdr:colOff>
      <xdr:row>13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142875</xdr:colOff>
      <xdr:row>14</xdr:row>
      <xdr:rowOff>9525</xdr:rowOff>
    </xdr:from>
    <xdr:to>
      <xdr:col>16</xdr:col>
      <xdr:colOff>447675</xdr:colOff>
      <xdr:row>25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419100</xdr:colOff>
      <xdr:row>25</xdr:row>
      <xdr:rowOff>138112</xdr:rowOff>
    </xdr:from>
    <xdr:to>
      <xdr:col>17</xdr:col>
      <xdr:colOff>114300</xdr:colOff>
      <xdr:row>31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133350</xdr:colOff>
      <xdr:row>32</xdr:row>
      <xdr:rowOff>23812</xdr:rowOff>
    </xdr:from>
    <xdr:to>
      <xdr:col>16</xdr:col>
      <xdr:colOff>438150</xdr:colOff>
      <xdr:row>46</xdr:row>
      <xdr:rowOff>61912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514351</xdr:colOff>
      <xdr:row>2</xdr:row>
      <xdr:rowOff>180976</xdr:rowOff>
    </xdr:from>
    <xdr:to>
      <xdr:col>7</xdr:col>
      <xdr:colOff>212913</xdr:colOff>
      <xdr:row>12</xdr:row>
      <xdr:rowOff>19050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514351" y="371476"/>
          <a:ext cx="4629150" cy="2381809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459441</xdr:colOff>
      <xdr:row>15</xdr:row>
      <xdr:rowOff>1</xdr:rowOff>
    </xdr:from>
    <xdr:to>
      <xdr:col>7</xdr:col>
      <xdr:colOff>268941</xdr:colOff>
      <xdr:row>24</xdr:row>
      <xdr:rowOff>33619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459441" y="3305736"/>
          <a:ext cx="4986618" cy="2129118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195544</xdr:colOff>
      <xdr:row>12</xdr:row>
      <xdr:rowOff>19050</xdr:rowOff>
    </xdr:from>
    <xdr:to>
      <xdr:col>3</xdr:col>
      <xdr:colOff>196103</xdr:colOff>
      <xdr:row>15</xdr:row>
      <xdr:rowOff>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CxnSpPr>
          <a:stCxn id="2" idx="2"/>
          <a:endCxn id="4" idx="0"/>
        </xdr:cNvCxnSpPr>
      </xdr:nvCxnSpPr>
      <xdr:spPr>
        <a:xfrm>
          <a:off x="2952191" y="2753285"/>
          <a:ext cx="559" cy="55245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425823</xdr:colOff>
      <xdr:row>3</xdr:row>
      <xdr:rowOff>0</xdr:rowOff>
    </xdr:from>
    <xdr:to>
      <xdr:col>11</xdr:col>
      <xdr:colOff>78441</xdr:colOff>
      <xdr:row>12</xdr:row>
      <xdr:rowOff>28574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/>
      </xdr:nvSpPr>
      <xdr:spPr>
        <a:xfrm>
          <a:off x="5602941" y="381000"/>
          <a:ext cx="3014382" cy="2381809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459441</xdr:colOff>
      <xdr:row>15</xdr:row>
      <xdr:rowOff>0</xdr:rowOff>
    </xdr:from>
    <xdr:to>
      <xdr:col>11</xdr:col>
      <xdr:colOff>56030</xdr:colOff>
      <xdr:row>24</xdr:row>
      <xdr:rowOff>33618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/>
      </xdr:nvSpPr>
      <xdr:spPr>
        <a:xfrm>
          <a:off x="5636559" y="3305735"/>
          <a:ext cx="2958353" cy="2129118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1327897</xdr:colOff>
      <xdr:row>12</xdr:row>
      <xdr:rowOff>28574</xdr:rowOff>
    </xdr:from>
    <xdr:to>
      <xdr:col>8</xdr:col>
      <xdr:colOff>1333501</xdr:colOff>
      <xdr:row>15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CxnSpPr>
          <a:stCxn id="17" idx="2"/>
          <a:endCxn id="18" idx="0"/>
        </xdr:cNvCxnSpPr>
      </xdr:nvCxnSpPr>
      <xdr:spPr>
        <a:xfrm>
          <a:off x="7110132" y="2762809"/>
          <a:ext cx="5604" cy="5429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</xdr:row>
      <xdr:rowOff>0</xdr:rowOff>
    </xdr:from>
    <xdr:to>
      <xdr:col>3</xdr:col>
      <xdr:colOff>11206</xdr:colOff>
      <xdr:row>32</xdr:row>
      <xdr:rowOff>168089</xdr:rowOff>
    </xdr:to>
    <xdr:sp macro="" textlink="">
      <xdr:nvSpPr>
        <xdr:cNvPr id="29" name="Rounded Rectangle 28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/>
      </xdr:nvSpPr>
      <xdr:spPr>
        <a:xfrm>
          <a:off x="605118" y="5782235"/>
          <a:ext cx="2162735" cy="930089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235323</xdr:colOff>
      <xdr:row>28</xdr:row>
      <xdr:rowOff>0</xdr:rowOff>
    </xdr:from>
    <xdr:to>
      <xdr:col>6</xdr:col>
      <xdr:colOff>246529</xdr:colOff>
      <xdr:row>32</xdr:row>
      <xdr:rowOff>168089</xdr:rowOff>
    </xdr:to>
    <xdr:sp macro="" textlink="">
      <xdr:nvSpPr>
        <xdr:cNvPr id="30" name="Rounded Rectangle 29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/>
      </xdr:nvSpPr>
      <xdr:spPr>
        <a:xfrm>
          <a:off x="2991970" y="5782235"/>
          <a:ext cx="1826559" cy="930089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8</xdr:col>
      <xdr:colOff>1221442</xdr:colOff>
      <xdr:row>32</xdr:row>
      <xdr:rowOff>168089</xdr:rowOff>
    </xdr:to>
    <xdr:sp macro="" textlink="">
      <xdr:nvSpPr>
        <xdr:cNvPr id="31" name="Rounded Rectangle 30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/>
      </xdr:nvSpPr>
      <xdr:spPr>
        <a:xfrm>
          <a:off x="5177118" y="5782235"/>
          <a:ext cx="1826559" cy="930089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504265</xdr:colOff>
      <xdr:row>28</xdr:row>
      <xdr:rowOff>0</xdr:rowOff>
    </xdr:from>
    <xdr:to>
      <xdr:col>12</xdr:col>
      <xdr:colOff>67236</xdr:colOff>
      <xdr:row>32</xdr:row>
      <xdr:rowOff>168089</xdr:rowOff>
    </xdr:to>
    <xdr:sp macro="" textlink="">
      <xdr:nvSpPr>
        <xdr:cNvPr id="32" name="Rounded Rectangle 31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/>
      </xdr:nvSpPr>
      <xdr:spPr>
        <a:xfrm>
          <a:off x="7832912" y="5782235"/>
          <a:ext cx="1378324" cy="930089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986117</xdr:colOff>
      <xdr:row>33</xdr:row>
      <xdr:rowOff>39219</xdr:rowOff>
    </xdr:from>
    <xdr:to>
      <xdr:col>4</xdr:col>
      <xdr:colOff>593911</xdr:colOff>
      <xdr:row>37</xdr:row>
      <xdr:rowOff>123264</xdr:rowOff>
    </xdr:to>
    <xdr:sp macro="" textlink="">
      <xdr:nvSpPr>
        <xdr:cNvPr id="33" name="Left Brace 32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/>
      </xdr:nvSpPr>
      <xdr:spPr>
        <a:xfrm rot="16200000">
          <a:off x="2535330" y="5829859"/>
          <a:ext cx="846045" cy="273423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1010478</xdr:colOff>
      <xdr:row>38</xdr:row>
      <xdr:rowOff>0</xdr:rowOff>
    </xdr:from>
    <xdr:to>
      <xdr:col>4</xdr:col>
      <xdr:colOff>123265</xdr:colOff>
      <xdr:row>40</xdr:row>
      <xdr:rowOff>41413</xdr:rowOff>
    </xdr:to>
    <xdr:sp macro="" textlink="">
      <xdr:nvSpPr>
        <xdr:cNvPr id="34" name="Rounded Rectangle 33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/>
      </xdr:nvSpPr>
      <xdr:spPr>
        <a:xfrm>
          <a:off x="1623391" y="8613913"/>
          <a:ext cx="2235331" cy="422413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4</xdr:col>
      <xdr:colOff>67235</xdr:colOff>
      <xdr:row>45</xdr:row>
      <xdr:rowOff>100853</xdr:rowOff>
    </xdr:to>
    <xdr:sp macro="" textlink="">
      <xdr:nvSpPr>
        <xdr:cNvPr id="35" name="Rounded Rectangle 34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/>
      </xdr:nvSpPr>
      <xdr:spPr>
        <a:xfrm>
          <a:off x="2151529" y="8639735"/>
          <a:ext cx="1647265" cy="862853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824607</xdr:colOff>
      <xdr:row>40</xdr:row>
      <xdr:rowOff>49696</xdr:rowOff>
    </xdr:from>
    <xdr:to>
      <xdr:col>2</xdr:col>
      <xdr:colOff>828261</xdr:colOff>
      <xdr:row>41</xdr:row>
      <xdr:rowOff>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CxnSpPr>
          <a:endCxn id="35" idx="0"/>
        </xdr:cNvCxnSpPr>
      </xdr:nvCxnSpPr>
      <xdr:spPr>
        <a:xfrm flipH="1">
          <a:off x="2978085" y="9044609"/>
          <a:ext cx="3654" cy="5383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47</xdr:row>
      <xdr:rowOff>0</xdr:rowOff>
    </xdr:from>
    <xdr:to>
      <xdr:col>4</xdr:col>
      <xdr:colOff>67235</xdr:colOff>
      <xdr:row>51</xdr:row>
      <xdr:rowOff>100853</xdr:rowOff>
    </xdr:to>
    <xdr:sp macro="" textlink="">
      <xdr:nvSpPr>
        <xdr:cNvPr id="44" name="Rounded Rectangle 43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/>
      </xdr:nvSpPr>
      <xdr:spPr>
        <a:xfrm>
          <a:off x="2151529" y="10085294"/>
          <a:ext cx="1647265" cy="862853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823633</xdr:colOff>
      <xdr:row>45</xdr:row>
      <xdr:rowOff>100853</xdr:rowOff>
    </xdr:from>
    <xdr:to>
      <xdr:col>2</xdr:col>
      <xdr:colOff>823633</xdr:colOff>
      <xdr:row>47</xdr:row>
      <xdr:rowOff>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CxnSpPr>
          <a:stCxn id="35" idx="2"/>
          <a:endCxn id="44" idx="0"/>
        </xdr:cNvCxnSpPr>
      </xdr:nvCxnSpPr>
      <xdr:spPr>
        <a:xfrm>
          <a:off x="2975162" y="9805147"/>
          <a:ext cx="0" cy="2801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8282</xdr:colOff>
      <xdr:row>51</xdr:row>
      <xdr:rowOff>123265</xdr:rowOff>
    </xdr:from>
    <xdr:to>
      <xdr:col>5</xdr:col>
      <xdr:colOff>22411</xdr:colOff>
      <xdr:row>54</xdr:row>
      <xdr:rowOff>16810</xdr:rowOff>
    </xdr:to>
    <xdr:sp macro="" textlink="">
      <xdr:nvSpPr>
        <xdr:cNvPr id="48" name="Left Brace 47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/>
      </xdr:nvSpPr>
      <xdr:spPr>
        <a:xfrm rot="5400000">
          <a:off x="2843248" y="11393581"/>
          <a:ext cx="846045" cy="2209021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828260</xdr:colOff>
      <xdr:row>54</xdr:row>
      <xdr:rowOff>1</xdr:rowOff>
    </xdr:from>
    <xdr:to>
      <xdr:col>3</xdr:col>
      <xdr:colOff>16564</xdr:colOff>
      <xdr:row>58</xdr:row>
      <xdr:rowOff>16567</xdr:rowOff>
    </xdr:to>
    <xdr:sp macro="" textlink="">
      <xdr:nvSpPr>
        <xdr:cNvPr id="49" name="Rounded Rectangle 48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/>
      </xdr:nvSpPr>
      <xdr:spPr>
        <a:xfrm>
          <a:off x="1441173" y="12904305"/>
          <a:ext cx="1565413" cy="778566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54</xdr:row>
      <xdr:rowOff>0</xdr:rowOff>
    </xdr:from>
    <xdr:to>
      <xdr:col>6</xdr:col>
      <xdr:colOff>0</xdr:colOff>
      <xdr:row>58</xdr:row>
      <xdr:rowOff>24847</xdr:rowOff>
    </xdr:to>
    <xdr:sp macro="" textlink="">
      <xdr:nvSpPr>
        <xdr:cNvPr id="50" name="Rounded Rectangle 49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/>
      </xdr:nvSpPr>
      <xdr:spPr>
        <a:xfrm>
          <a:off x="3735457" y="12904304"/>
          <a:ext cx="1764195" cy="786847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</xdr:colOff>
      <xdr:row>59</xdr:row>
      <xdr:rowOff>0</xdr:rowOff>
    </xdr:from>
    <xdr:to>
      <xdr:col>6</xdr:col>
      <xdr:colOff>16566</xdr:colOff>
      <xdr:row>64</xdr:row>
      <xdr:rowOff>0</xdr:rowOff>
    </xdr:to>
    <xdr:sp macro="" textlink="">
      <xdr:nvSpPr>
        <xdr:cNvPr id="51" name="Rounded Rectangle 50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/>
      </xdr:nvSpPr>
      <xdr:spPr>
        <a:xfrm>
          <a:off x="3735458" y="13856804"/>
          <a:ext cx="1780760" cy="952500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563218</xdr:colOff>
      <xdr:row>58</xdr:row>
      <xdr:rowOff>182217</xdr:rowOff>
    </xdr:from>
    <xdr:to>
      <xdr:col>3</xdr:col>
      <xdr:colOff>33130</xdr:colOff>
      <xdr:row>62</xdr:row>
      <xdr:rowOff>8283</xdr:rowOff>
    </xdr:to>
    <xdr:sp macro="" textlink="">
      <xdr:nvSpPr>
        <xdr:cNvPr id="52" name="Rounded Rectangle 51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/>
      </xdr:nvSpPr>
      <xdr:spPr>
        <a:xfrm>
          <a:off x="1176131" y="13848521"/>
          <a:ext cx="1847021" cy="588066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248478</xdr:colOff>
      <xdr:row>38</xdr:row>
      <xdr:rowOff>0</xdr:rowOff>
    </xdr:from>
    <xdr:to>
      <xdr:col>9</xdr:col>
      <xdr:colOff>66261</xdr:colOff>
      <xdr:row>40</xdr:row>
      <xdr:rowOff>41413</xdr:rowOff>
    </xdr:to>
    <xdr:sp macro="" textlink="">
      <xdr:nvSpPr>
        <xdr:cNvPr id="62" name="Rounded Rectangle 61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/>
      </xdr:nvSpPr>
      <xdr:spPr>
        <a:xfrm>
          <a:off x="5748130" y="8613913"/>
          <a:ext cx="2932044" cy="422413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196591</xdr:colOff>
      <xdr:row>32</xdr:row>
      <xdr:rowOff>168089</xdr:rowOff>
    </xdr:from>
    <xdr:to>
      <xdr:col>8</xdr:col>
      <xdr:colOff>198782</xdr:colOff>
      <xdr:row>37</xdr:row>
      <xdr:rowOff>182216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CxnSpPr>
          <a:stCxn id="31" idx="2"/>
        </xdr:cNvCxnSpPr>
      </xdr:nvCxnSpPr>
      <xdr:spPr>
        <a:xfrm>
          <a:off x="7269939" y="7639002"/>
          <a:ext cx="2191" cy="96662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745434</xdr:colOff>
      <xdr:row>41</xdr:row>
      <xdr:rowOff>0</xdr:rowOff>
    </xdr:from>
    <xdr:to>
      <xdr:col>9</xdr:col>
      <xdr:colOff>41412</xdr:colOff>
      <xdr:row>45</xdr:row>
      <xdr:rowOff>33131</xdr:rowOff>
    </xdr:to>
    <xdr:sp macro="" textlink="">
      <xdr:nvSpPr>
        <xdr:cNvPr id="65" name="Rounded Rectangle 64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/>
      </xdr:nvSpPr>
      <xdr:spPr>
        <a:xfrm>
          <a:off x="6245086" y="9582978"/>
          <a:ext cx="2410239" cy="795131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745434</xdr:colOff>
      <xdr:row>47</xdr:row>
      <xdr:rowOff>0</xdr:rowOff>
    </xdr:from>
    <xdr:to>
      <xdr:col>9</xdr:col>
      <xdr:colOff>41412</xdr:colOff>
      <xdr:row>51</xdr:row>
      <xdr:rowOff>100853</xdr:rowOff>
    </xdr:to>
    <xdr:sp macro="" textlink="">
      <xdr:nvSpPr>
        <xdr:cNvPr id="66" name="Rounded Rectangle 6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/>
      </xdr:nvSpPr>
      <xdr:spPr>
        <a:xfrm>
          <a:off x="6245086" y="10899913"/>
          <a:ext cx="2410239" cy="862853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207065</xdr:colOff>
      <xdr:row>40</xdr:row>
      <xdr:rowOff>24848</xdr:rowOff>
    </xdr:from>
    <xdr:to>
      <xdr:col>8</xdr:col>
      <xdr:colOff>215347</xdr:colOff>
      <xdr:row>41</xdr:row>
      <xdr:rowOff>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CxnSpPr/>
      </xdr:nvCxnSpPr>
      <xdr:spPr>
        <a:xfrm>
          <a:off x="7280413" y="9019761"/>
          <a:ext cx="8282" cy="5632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376858</xdr:colOff>
      <xdr:row>45</xdr:row>
      <xdr:rowOff>33131</xdr:rowOff>
    </xdr:from>
    <xdr:to>
      <xdr:col>8</xdr:col>
      <xdr:colOff>376858</xdr:colOff>
      <xdr:row>47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CxnSpPr>
          <a:stCxn id="65" idx="2"/>
          <a:endCxn id="66" idx="0"/>
        </xdr:cNvCxnSpPr>
      </xdr:nvCxnSpPr>
      <xdr:spPr>
        <a:xfrm>
          <a:off x="7450206" y="10378109"/>
          <a:ext cx="0" cy="52180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54</xdr:row>
      <xdr:rowOff>0</xdr:rowOff>
    </xdr:from>
    <xdr:to>
      <xdr:col>9</xdr:col>
      <xdr:colOff>33130</xdr:colOff>
      <xdr:row>58</xdr:row>
      <xdr:rowOff>24847</xdr:rowOff>
    </xdr:to>
    <xdr:sp macro="" textlink="">
      <xdr:nvSpPr>
        <xdr:cNvPr id="73" name="Rounded Rectangle 72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/>
      </xdr:nvSpPr>
      <xdr:spPr>
        <a:xfrm>
          <a:off x="6245087" y="12614413"/>
          <a:ext cx="2401956" cy="786847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372717</xdr:colOff>
      <xdr:row>51</xdr:row>
      <xdr:rowOff>100853</xdr:rowOff>
    </xdr:from>
    <xdr:to>
      <xdr:col>8</xdr:col>
      <xdr:colOff>376858</xdr:colOff>
      <xdr:row>54</xdr:row>
      <xdr:rowOff>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CxnSpPr>
          <a:stCxn id="66" idx="2"/>
          <a:endCxn id="73" idx="0"/>
        </xdr:cNvCxnSpPr>
      </xdr:nvCxnSpPr>
      <xdr:spPr>
        <a:xfrm flipH="1">
          <a:off x="7446065" y="11762766"/>
          <a:ext cx="4141" cy="8516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646044</xdr:colOff>
      <xdr:row>59</xdr:row>
      <xdr:rowOff>0</xdr:rowOff>
    </xdr:from>
    <xdr:to>
      <xdr:col>9</xdr:col>
      <xdr:colOff>115957</xdr:colOff>
      <xdr:row>64</xdr:row>
      <xdr:rowOff>0</xdr:rowOff>
    </xdr:to>
    <xdr:sp macro="" textlink="">
      <xdr:nvSpPr>
        <xdr:cNvPr id="79" name="Rounded Rectangle 78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/>
      </xdr:nvSpPr>
      <xdr:spPr>
        <a:xfrm>
          <a:off x="6145696" y="13566913"/>
          <a:ext cx="2584174" cy="952500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563217</xdr:colOff>
      <xdr:row>38</xdr:row>
      <xdr:rowOff>0</xdr:rowOff>
    </xdr:from>
    <xdr:to>
      <xdr:col>13</xdr:col>
      <xdr:colOff>66261</xdr:colOff>
      <xdr:row>40</xdr:row>
      <xdr:rowOff>41413</xdr:rowOff>
    </xdr:to>
    <xdr:sp macro="" textlink="">
      <xdr:nvSpPr>
        <xdr:cNvPr id="80" name="Rounded Rectangle 79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/>
      </xdr:nvSpPr>
      <xdr:spPr>
        <a:xfrm>
          <a:off x="9177130" y="8613913"/>
          <a:ext cx="1954696" cy="422413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592207</xdr:colOff>
      <xdr:row>32</xdr:row>
      <xdr:rowOff>168089</xdr:rowOff>
    </xdr:from>
    <xdr:to>
      <xdr:col>10</xdr:col>
      <xdr:colOff>596348</xdr:colOff>
      <xdr:row>38</xdr:row>
      <xdr:rowOff>8283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CxnSpPr>
          <a:stCxn id="32" idx="2"/>
        </xdr:cNvCxnSpPr>
      </xdr:nvCxnSpPr>
      <xdr:spPr>
        <a:xfrm>
          <a:off x="9819033" y="7639002"/>
          <a:ext cx="4141" cy="9831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745434</xdr:colOff>
      <xdr:row>41</xdr:row>
      <xdr:rowOff>0</xdr:rowOff>
    </xdr:from>
    <xdr:to>
      <xdr:col>12</xdr:col>
      <xdr:colOff>41412</xdr:colOff>
      <xdr:row>45</xdr:row>
      <xdr:rowOff>33131</xdr:rowOff>
    </xdr:to>
    <xdr:sp macro="" textlink="">
      <xdr:nvSpPr>
        <xdr:cNvPr id="85" name="Rounded Rectangle 84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/>
      </xdr:nvSpPr>
      <xdr:spPr>
        <a:xfrm>
          <a:off x="6245086" y="9582978"/>
          <a:ext cx="2410239" cy="795131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591792</xdr:colOff>
      <xdr:row>40</xdr:row>
      <xdr:rowOff>33130</xdr:rowOff>
    </xdr:from>
    <xdr:to>
      <xdr:col>10</xdr:col>
      <xdr:colOff>596348</xdr:colOff>
      <xdr:row>41</xdr:row>
      <xdr:rowOff>8282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CxnSpPr/>
      </xdr:nvCxnSpPr>
      <xdr:spPr>
        <a:xfrm flipH="1">
          <a:off x="9818618" y="9028043"/>
          <a:ext cx="4556" cy="5632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47</xdr:row>
      <xdr:rowOff>0</xdr:rowOff>
    </xdr:from>
    <xdr:to>
      <xdr:col>12</xdr:col>
      <xdr:colOff>67235</xdr:colOff>
      <xdr:row>51</xdr:row>
      <xdr:rowOff>100853</xdr:rowOff>
    </xdr:to>
    <xdr:sp macro="" textlink="">
      <xdr:nvSpPr>
        <xdr:cNvPr id="93" name="Rounded Rectangle 92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/>
      </xdr:nvSpPr>
      <xdr:spPr>
        <a:xfrm>
          <a:off x="2153478" y="10899913"/>
          <a:ext cx="1649214" cy="862853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588065</xdr:colOff>
      <xdr:row>54</xdr:row>
      <xdr:rowOff>1</xdr:rowOff>
    </xdr:from>
    <xdr:to>
      <xdr:col>12</xdr:col>
      <xdr:colOff>16564</xdr:colOff>
      <xdr:row>58</xdr:row>
      <xdr:rowOff>16567</xdr:rowOff>
    </xdr:to>
    <xdr:sp macro="" textlink="">
      <xdr:nvSpPr>
        <xdr:cNvPr id="94" name="Rounded Rectangle 93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/>
      </xdr:nvSpPr>
      <xdr:spPr>
        <a:xfrm>
          <a:off x="9201978" y="12614414"/>
          <a:ext cx="1482586" cy="778566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604630</xdr:colOff>
      <xdr:row>51</xdr:row>
      <xdr:rowOff>115957</xdr:rowOff>
    </xdr:from>
    <xdr:to>
      <xdr:col>10</xdr:col>
      <xdr:colOff>608771</xdr:colOff>
      <xdr:row>54</xdr:row>
      <xdr:rowOff>15104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CxnSpPr/>
      </xdr:nvCxnSpPr>
      <xdr:spPr>
        <a:xfrm flipH="1">
          <a:off x="9831456" y="11777870"/>
          <a:ext cx="4141" cy="4706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604631</xdr:colOff>
      <xdr:row>45</xdr:row>
      <xdr:rowOff>33130</xdr:rowOff>
    </xdr:from>
    <xdr:to>
      <xdr:col>10</xdr:col>
      <xdr:colOff>604631</xdr:colOff>
      <xdr:row>46</xdr:row>
      <xdr:rowOff>364434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CxnSpPr/>
      </xdr:nvCxnSpPr>
      <xdr:spPr>
        <a:xfrm>
          <a:off x="9831457" y="10378108"/>
          <a:ext cx="0" cy="52180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67236</xdr:colOff>
      <xdr:row>31</xdr:row>
      <xdr:rowOff>66261</xdr:rowOff>
    </xdr:from>
    <xdr:to>
      <xdr:col>15</xdr:col>
      <xdr:colOff>8283</xdr:colOff>
      <xdr:row>31</xdr:row>
      <xdr:rowOff>67481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CxnSpPr/>
      </xdr:nvCxnSpPr>
      <xdr:spPr>
        <a:xfrm flipV="1">
          <a:off x="10735236" y="7346674"/>
          <a:ext cx="1995134" cy="12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74544</xdr:rowOff>
    </xdr:from>
    <xdr:to>
      <xdr:col>15</xdr:col>
      <xdr:colOff>8283</xdr:colOff>
      <xdr:row>37</xdr:row>
      <xdr:rowOff>182217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CxnSpPr/>
      </xdr:nvCxnSpPr>
      <xdr:spPr>
        <a:xfrm flipH="1">
          <a:off x="12722087" y="7354957"/>
          <a:ext cx="8283" cy="12506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563217</xdr:colOff>
      <xdr:row>38</xdr:row>
      <xdr:rowOff>0</xdr:rowOff>
    </xdr:from>
    <xdr:to>
      <xdr:col>17</xdr:col>
      <xdr:colOff>66261</xdr:colOff>
      <xdr:row>40</xdr:row>
      <xdr:rowOff>41413</xdr:rowOff>
    </xdr:to>
    <xdr:sp macro="" textlink="">
      <xdr:nvSpPr>
        <xdr:cNvPr id="101" name="Rounded Rectangle 100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/>
      </xdr:nvSpPr>
      <xdr:spPr>
        <a:xfrm>
          <a:off x="9177130" y="8613913"/>
          <a:ext cx="2170044" cy="422413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612084</xdr:colOff>
      <xdr:row>41</xdr:row>
      <xdr:rowOff>0</xdr:rowOff>
    </xdr:from>
    <xdr:to>
      <xdr:col>16</xdr:col>
      <xdr:colOff>41412</xdr:colOff>
      <xdr:row>45</xdr:row>
      <xdr:rowOff>33131</xdr:rowOff>
    </xdr:to>
    <xdr:sp macro="" textlink="">
      <xdr:nvSpPr>
        <xdr:cNvPr id="103" name="Rounded Rectangle 102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/>
      </xdr:nvSpPr>
      <xdr:spPr>
        <a:xfrm>
          <a:off x="11892997" y="9582978"/>
          <a:ext cx="1483415" cy="795131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3727</xdr:colOff>
      <xdr:row>40</xdr:row>
      <xdr:rowOff>49696</xdr:rowOff>
    </xdr:from>
    <xdr:to>
      <xdr:col>15</xdr:col>
      <xdr:colOff>8283</xdr:colOff>
      <xdr:row>41</xdr:row>
      <xdr:rowOff>16565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CxnSpPr/>
      </xdr:nvCxnSpPr>
      <xdr:spPr>
        <a:xfrm flipH="1">
          <a:off x="12725814" y="9044609"/>
          <a:ext cx="4556" cy="55493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47</xdr:row>
      <xdr:rowOff>0</xdr:rowOff>
    </xdr:from>
    <xdr:to>
      <xdr:col>16</xdr:col>
      <xdr:colOff>67235</xdr:colOff>
      <xdr:row>51</xdr:row>
      <xdr:rowOff>100853</xdr:rowOff>
    </xdr:to>
    <xdr:sp macro="" textlink="">
      <xdr:nvSpPr>
        <xdr:cNvPr id="105" name="Rounded Rectangle 104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/>
      </xdr:nvSpPr>
      <xdr:spPr>
        <a:xfrm>
          <a:off x="9226826" y="10899913"/>
          <a:ext cx="1508409" cy="862853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944217</xdr:colOff>
      <xdr:row>45</xdr:row>
      <xdr:rowOff>41413</xdr:rowOff>
    </xdr:from>
    <xdr:to>
      <xdr:col>14</xdr:col>
      <xdr:colOff>944217</xdr:colOff>
      <xdr:row>47</xdr:row>
      <xdr:rowOff>8282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CxnSpPr/>
      </xdr:nvCxnSpPr>
      <xdr:spPr>
        <a:xfrm>
          <a:off x="12962282" y="10386391"/>
          <a:ext cx="0" cy="52180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588065</xdr:colOff>
      <xdr:row>54</xdr:row>
      <xdr:rowOff>1</xdr:rowOff>
    </xdr:from>
    <xdr:to>
      <xdr:col>16</xdr:col>
      <xdr:colOff>16564</xdr:colOff>
      <xdr:row>58</xdr:row>
      <xdr:rowOff>16567</xdr:rowOff>
    </xdr:to>
    <xdr:sp macro="" textlink="">
      <xdr:nvSpPr>
        <xdr:cNvPr id="117" name="Rounded Rectangle 116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/>
      </xdr:nvSpPr>
      <xdr:spPr>
        <a:xfrm>
          <a:off x="9201978" y="12233414"/>
          <a:ext cx="1482586" cy="778566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51</xdr:row>
      <xdr:rowOff>91108</xdr:rowOff>
    </xdr:from>
    <xdr:to>
      <xdr:col>15</xdr:col>
      <xdr:colOff>4141</xdr:colOff>
      <xdr:row>53</xdr:row>
      <xdr:rowOff>180755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CxnSpPr/>
      </xdr:nvCxnSpPr>
      <xdr:spPr>
        <a:xfrm flipH="1">
          <a:off x="12970565" y="11753021"/>
          <a:ext cx="4141" cy="4706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546652</xdr:colOff>
      <xdr:row>58</xdr:row>
      <xdr:rowOff>182217</xdr:rowOff>
    </xdr:from>
    <xdr:to>
      <xdr:col>12</xdr:col>
      <xdr:colOff>33130</xdr:colOff>
      <xdr:row>62</xdr:row>
      <xdr:rowOff>8283</xdr:rowOff>
    </xdr:to>
    <xdr:sp macro="" textlink="">
      <xdr:nvSpPr>
        <xdr:cNvPr id="119" name="Rounded Rectangle 118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/>
      </xdr:nvSpPr>
      <xdr:spPr>
        <a:xfrm>
          <a:off x="9160565" y="13177630"/>
          <a:ext cx="1540565" cy="588066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646044</xdr:colOff>
      <xdr:row>59</xdr:row>
      <xdr:rowOff>0</xdr:rowOff>
    </xdr:from>
    <xdr:to>
      <xdr:col>16</xdr:col>
      <xdr:colOff>115957</xdr:colOff>
      <xdr:row>64</xdr:row>
      <xdr:rowOff>0</xdr:rowOff>
    </xdr:to>
    <xdr:sp macro="" textlink="">
      <xdr:nvSpPr>
        <xdr:cNvPr id="120" name="Rounded Rectangle 119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/>
      </xdr:nvSpPr>
      <xdr:spPr>
        <a:xfrm>
          <a:off x="6145696" y="13185913"/>
          <a:ext cx="2584174" cy="952500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91109</xdr:colOff>
      <xdr:row>29</xdr:row>
      <xdr:rowOff>0</xdr:rowOff>
    </xdr:from>
    <xdr:to>
      <xdr:col>19</xdr:col>
      <xdr:colOff>8283</xdr:colOff>
      <xdr:row>29</xdr:row>
      <xdr:rowOff>9503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CxnSpPr/>
      </xdr:nvCxnSpPr>
      <xdr:spPr>
        <a:xfrm flipV="1">
          <a:off x="10883348" y="6899413"/>
          <a:ext cx="4422913" cy="950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8284</xdr:colOff>
      <xdr:row>29</xdr:row>
      <xdr:rowOff>0</xdr:rowOff>
    </xdr:from>
    <xdr:to>
      <xdr:col>19</xdr:col>
      <xdr:colOff>16565</xdr:colOff>
      <xdr:row>38</xdr:row>
      <xdr:rowOff>16565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CxnSpPr/>
      </xdr:nvCxnSpPr>
      <xdr:spPr>
        <a:xfrm>
          <a:off x="15306262" y="6899413"/>
          <a:ext cx="8281" cy="173106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563217</xdr:colOff>
      <xdr:row>38</xdr:row>
      <xdr:rowOff>0</xdr:rowOff>
    </xdr:from>
    <xdr:to>
      <xdr:col>21</xdr:col>
      <xdr:colOff>66261</xdr:colOff>
      <xdr:row>40</xdr:row>
      <xdr:rowOff>41413</xdr:rowOff>
    </xdr:to>
    <xdr:sp macro="" textlink="">
      <xdr:nvSpPr>
        <xdr:cNvPr id="125" name="Rounded Rectangle 124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/>
      </xdr:nvSpPr>
      <xdr:spPr>
        <a:xfrm>
          <a:off x="11968369" y="8613913"/>
          <a:ext cx="2170044" cy="422413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745434</xdr:colOff>
      <xdr:row>41</xdr:row>
      <xdr:rowOff>0</xdr:rowOff>
    </xdr:from>
    <xdr:to>
      <xdr:col>20</xdr:col>
      <xdr:colOff>41412</xdr:colOff>
      <xdr:row>45</xdr:row>
      <xdr:rowOff>33131</xdr:rowOff>
    </xdr:to>
    <xdr:sp macro="" textlink="">
      <xdr:nvSpPr>
        <xdr:cNvPr id="126" name="Rounded Rectangle 12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/>
      </xdr:nvSpPr>
      <xdr:spPr>
        <a:xfrm>
          <a:off x="9225997" y="9582978"/>
          <a:ext cx="1607654" cy="795131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939662</xdr:colOff>
      <xdr:row>40</xdr:row>
      <xdr:rowOff>57978</xdr:rowOff>
    </xdr:from>
    <xdr:to>
      <xdr:col>18</xdr:col>
      <xdr:colOff>944218</xdr:colOff>
      <xdr:row>41</xdr:row>
      <xdr:rowOff>33130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CxnSpPr/>
      </xdr:nvCxnSpPr>
      <xdr:spPr>
        <a:xfrm flipH="1">
          <a:off x="15748966" y="9052891"/>
          <a:ext cx="4556" cy="5632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47</xdr:row>
      <xdr:rowOff>0</xdr:rowOff>
    </xdr:from>
    <xdr:to>
      <xdr:col>20</xdr:col>
      <xdr:colOff>67235</xdr:colOff>
      <xdr:row>51</xdr:row>
      <xdr:rowOff>100853</xdr:rowOff>
    </xdr:to>
    <xdr:sp macro="" textlink="">
      <xdr:nvSpPr>
        <xdr:cNvPr id="128" name="Rounded Rectangle 127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/>
      </xdr:nvSpPr>
      <xdr:spPr>
        <a:xfrm>
          <a:off x="9226826" y="10899913"/>
          <a:ext cx="1632648" cy="862853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588065</xdr:colOff>
      <xdr:row>54</xdr:row>
      <xdr:rowOff>1</xdr:rowOff>
    </xdr:from>
    <xdr:to>
      <xdr:col>20</xdr:col>
      <xdr:colOff>16564</xdr:colOff>
      <xdr:row>58</xdr:row>
      <xdr:rowOff>16567</xdr:rowOff>
    </xdr:to>
    <xdr:sp macro="" textlink="">
      <xdr:nvSpPr>
        <xdr:cNvPr id="129" name="Rounded Rectangle 128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/>
      </xdr:nvSpPr>
      <xdr:spPr>
        <a:xfrm>
          <a:off x="9201978" y="12233414"/>
          <a:ext cx="1606825" cy="778566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944217</xdr:colOff>
      <xdr:row>51</xdr:row>
      <xdr:rowOff>91110</xdr:rowOff>
    </xdr:from>
    <xdr:to>
      <xdr:col>18</xdr:col>
      <xdr:colOff>948358</xdr:colOff>
      <xdr:row>53</xdr:row>
      <xdr:rowOff>180757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CxnSpPr/>
      </xdr:nvCxnSpPr>
      <xdr:spPr>
        <a:xfrm flipH="1">
          <a:off x="15753521" y="11753023"/>
          <a:ext cx="4141" cy="4706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944218</xdr:colOff>
      <xdr:row>45</xdr:row>
      <xdr:rowOff>49695</xdr:rowOff>
    </xdr:from>
    <xdr:to>
      <xdr:col>18</xdr:col>
      <xdr:colOff>944218</xdr:colOff>
      <xdr:row>47</xdr:row>
      <xdr:rowOff>16564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CxnSpPr/>
      </xdr:nvCxnSpPr>
      <xdr:spPr>
        <a:xfrm>
          <a:off x="15753522" y="10394673"/>
          <a:ext cx="0" cy="52180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546652</xdr:colOff>
      <xdr:row>58</xdr:row>
      <xdr:rowOff>182217</xdr:rowOff>
    </xdr:from>
    <xdr:to>
      <xdr:col>20</xdr:col>
      <xdr:colOff>33130</xdr:colOff>
      <xdr:row>62</xdr:row>
      <xdr:rowOff>8283</xdr:rowOff>
    </xdr:to>
    <xdr:sp macro="" textlink="">
      <xdr:nvSpPr>
        <xdr:cNvPr id="132" name="Rounded Rectangle 131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/>
      </xdr:nvSpPr>
      <xdr:spPr>
        <a:xfrm>
          <a:off x="9160565" y="13177630"/>
          <a:ext cx="1664804" cy="588066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588065</xdr:colOff>
      <xdr:row>54</xdr:row>
      <xdr:rowOff>1</xdr:rowOff>
    </xdr:from>
    <xdr:to>
      <xdr:col>24</xdr:col>
      <xdr:colOff>16564</xdr:colOff>
      <xdr:row>58</xdr:row>
      <xdr:rowOff>16567</xdr:rowOff>
    </xdr:to>
    <xdr:sp macro="" textlink="">
      <xdr:nvSpPr>
        <xdr:cNvPr id="133" name="Rounded Rectangle 132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/>
      </xdr:nvSpPr>
      <xdr:spPr>
        <a:xfrm>
          <a:off x="14784456" y="12233414"/>
          <a:ext cx="1606825" cy="778566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546652</xdr:colOff>
      <xdr:row>58</xdr:row>
      <xdr:rowOff>182217</xdr:rowOff>
    </xdr:from>
    <xdr:to>
      <xdr:col>24</xdr:col>
      <xdr:colOff>33130</xdr:colOff>
      <xdr:row>62</xdr:row>
      <xdr:rowOff>8283</xdr:rowOff>
    </xdr:to>
    <xdr:sp macro="" textlink="">
      <xdr:nvSpPr>
        <xdr:cNvPr id="134" name="Rounded Rectangle 133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/>
      </xdr:nvSpPr>
      <xdr:spPr>
        <a:xfrm>
          <a:off x="14743043" y="13177630"/>
          <a:ext cx="1664804" cy="588066"/>
        </a:xfrm>
        <a:prstGeom prst="round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10668000" y="495300"/>
    <xdr:ext cx="3733800" cy="188595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0883762" y="2971800"/>
    <xdr:ext cx="5194438" cy="188595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11134725" y="5219700"/>
    <xdr:ext cx="3733800" cy="188595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0.73193</cdr:x>
      <cdr:y>0.01145</cdr:y>
    </cdr:from>
    <cdr:to>
      <cdr:x>0.88125</cdr:x>
      <cdr:y>0.83768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51296" y="2351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0.73193</cdr:x>
      <cdr:y>0.01145</cdr:y>
    </cdr:from>
    <cdr:to>
      <cdr:x>0.88125</cdr:x>
      <cdr:y>0.83768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51296" y="2351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0.73193</cdr:x>
      <cdr:y>0.01145</cdr:y>
    </cdr:from>
    <cdr:to>
      <cdr:x>0.88125</cdr:x>
      <cdr:y>0.83768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51296" y="2351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28</xdr:row>
      <xdr:rowOff>138113</xdr:rowOff>
    </xdr:from>
    <xdr:to>
      <xdr:col>6</xdr:col>
      <xdr:colOff>9525</xdr:colOff>
      <xdr:row>38</xdr:row>
      <xdr:rowOff>114301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28</xdr:row>
      <xdr:rowOff>142875</xdr:rowOff>
    </xdr:from>
    <xdr:to>
      <xdr:col>12</xdr:col>
      <xdr:colOff>19050</xdr:colOff>
      <xdr:row>38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moustafa\AppData\Local\Microsoft\Windows\INetCache\Content.Outlook\5X6SLULE\Sensetivity%20analysis%20-%20ERM%20%20EFS-Conv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M Rolling"/>
      <sheetName val="ERM DRI"/>
      <sheetName val="EFS MS Flat"/>
      <sheetName val="EFS MS Rebar"/>
      <sheetName val="Production Q. &amp; Sales (2)"/>
      <sheetName val="Sheet1"/>
      <sheetName val="Sales"/>
      <sheetName val="Production ERM"/>
      <sheetName val="Production EFS"/>
      <sheetName val="ERM Cost Sheets"/>
      <sheetName val="EFS total Cost"/>
      <sheetName val="EFS Rebar cost"/>
      <sheetName val="EFS Flat Cost"/>
    </sheetNames>
    <sheetDataSet>
      <sheetData sheetId="0"/>
      <sheetData sheetId="1">
        <row r="4">
          <cell r="T4" t="str">
            <v xml:space="preserve">Base </v>
          </cell>
        </row>
      </sheetData>
      <sheetData sheetId="2">
        <row r="2">
          <cell r="N2" t="str">
            <v xml:space="preserve">Base </v>
          </cell>
        </row>
      </sheetData>
      <sheetData sheetId="3"/>
      <sheetData sheetId="4">
        <row r="6">
          <cell r="D6">
            <v>328938.81919999985</v>
          </cell>
        </row>
        <row r="17">
          <cell r="D17">
            <v>200652679.71199992</v>
          </cell>
        </row>
        <row r="30">
          <cell r="D30">
            <v>583357.72199999995</v>
          </cell>
        </row>
        <row r="41">
          <cell r="D41">
            <v>395337639.14792001</v>
          </cell>
        </row>
        <row r="67">
          <cell r="D67">
            <v>80395.089999999982</v>
          </cell>
        </row>
        <row r="78">
          <cell r="D78">
            <v>863699412.9999975</v>
          </cell>
        </row>
        <row r="90">
          <cell r="D90">
            <v>1206119.7547500399</v>
          </cell>
        </row>
        <row r="95">
          <cell r="D95">
            <v>7798062692</v>
          </cell>
        </row>
      </sheetData>
      <sheetData sheetId="5"/>
      <sheetData sheetId="6"/>
      <sheetData sheetId="7">
        <row r="57">
          <cell r="G57">
            <v>0.18613446576418999</v>
          </cell>
        </row>
      </sheetData>
      <sheetData sheetId="8">
        <row r="21">
          <cell r="G21">
            <v>0.73632389043409974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16365C"/>
    <pageSetUpPr fitToPage="1"/>
  </sheetPr>
  <dimension ref="A1:U102"/>
  <sheetViews>
    <sheetView showGridLines="0" topLeftCell="A40" zoomScaleNormal="100" zoomScaleSheetLayoutView="55" workbookViewId="0">
      <selection activeCell="E62" sqref="E62"/>
    </sheetView>
  </sheetViews>
  <sheetFormatPr defaultColWidth="9.1796875" defaultRowHeight="15.5" x14ac:dyDescent="0.35"/>
  <cols>
    <col min="1" max="1" width="9.1796875" style="110"/>
    <col min="2" max="2" width="4.54296875" style="120" customWidth="1"/>
    <col min="3" max="3" width="34.81640625" style="192" bestFit="1" customWidth="1"/>
    <col min="4" max="4" width="14" style="193" bestFit="1" customWidth="1"/>
    <col min="5" max="5" width="16.1796875" style="192" bestFit="1" customWidth="1"/>
    <col min="6" max="6" width="3.54296875" style="192" customWidth="1"/>
    <col min="7" max="7" width="15" style="192" bestFit="1" customWidth="1"/>
    <col min="8" max="8" width="9.1796875" style="120"/>
    <col min="9" max="9" width="20.7265625" style="120" customWidth="1"/>
    <col min="10" max="16384" width="9.1796875" style="120"/>
  </cols>
  <sheetData>
    <row r="1" spans="1:21" s="110" customFormat="1" ht="15" thickBot="1" x14ac:dyDescent="0.4">
      <c r="B1" s="1"/>
      <c r="C1" s="121"/>
      <c r="D1" s="122"/>
      <c r="E1" s="121"/>
      <c r="F1" s="121"/>
      <c r="G1" s="12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110" customFormat="1" ht="34.5" customHeight="1" thickTop="1" x14ac:dyDescent="0.35">
      <c r="B2" s="1"/>
      <c r="C2" s="121"/>
      <c r="D2" s="122"/>
      <c r="E2" s="784" t="s">
        <v>241</v>
      </c>
      <c r="F2" s="785"/>
      <c r="G2" s="250" t="s">
        <v>242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s="110" customFormat="1" ht="14.5" x14ac:dyDescent="0.35">
      <c r="B3" s="1"/>
      <c r="C3" s="121"/>
      <c r="D3" s="122"/>
      <c r="E3" s="121"/>
      <c r="F3" s="121"/>
      <c r="G3" s="12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s="110" customFormat="1" ht="15" thickBot="1" x14ac:dyDescent="0.4">
      <c r="B4" s="8"/>
      <c r="C4" s="123"/>
      <c r="D4" s="122"/>
      <c r="E4" s="124" t="s">
        <v>94</v>
      </c>
      <c r="F4" s="123"/>
      <c r="G4" s="124" t="s">
        <v>94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 s="110" customFormat="1" thickTop="1" thickBot="1" x14ac:dyDescent="0.4">
      <c r="B5" s="1"/>
      <c r="C5" s="121"/>
      <c r="D5" s="122"/>
      <c r="E5" s="121"/>
      <c r="F5" s="121"/>
      <c r="G5" s="12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s="4" customFormat="1" ht="14.5" thickTop="1" x14ac:dyDescent="0.3">
      <c r="B6" s="1"/>
      <c r="C6" s="125" t="s">
        <v>95</v>
      </c>
      <c r="D6" s="126" t="s">
        <v>96</v>
      </c>
      <c r="E6" s="197">
        <f>+DRI!E6</f>
        <v>16.2</v>
      </c>
      <c r="F6" s="153"/>
      <c r="G6" s="197">
        <f>+DRI!E6</f>
        <v>16.2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1"/>
      <c r="U6" s="11"/>
    </row>
    <row r="7" spans="1:21" s="110" customFormat="1" ht="14.25" customHeight="1" thickBot="1" x14ac:dyDescent="0.4">
      <c r="B7" s="1"/>
      <c r="C7" s="121"/>
      <c r="D7" s="122"/>
      <c r="E7" s="154"/>
      <c r="F7" s="121"/>
      <c r="G7" s="15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s="110" customFormat="1" ht="15" thickBot="1" x14ac:dyDescent="0.4">
      <c r="B8" s="8"/>
      <c r="C8" s="129" t="s">
        <v>20</v>
      </c>
      <c r="D8" s="122"/>
      <c r="E8" s="123"/>
      <c r="F8" s="123"/>
      <c r="G8" s="123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s="110" customFormat="1" thickTop="1" thickBot="1" x14ac:dyDescent="0.4">
      <c r="B9" s="1"/>
      <c r="C9" s="121"/>
      <c r="D9" s="122"/>
      <c r="E9" s="121"/>
      <c r="F9" s="121"/>
      <c r="G9" s="12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s="110" customFormat="1" ht="15" thickTop="1" x14ac:dyDescent="0.35">
      <c r="B10" s="1"/>
      <c r="C10" s="125" t="s">
        <v>147</v>
      </c>
      <c r="D10" s="126" t="s">
        <v>14</v>
      </c>
      <c r="E10" s="130">
        <v>3000000</v>
      </c>
      <c r="F10" s="155"/>
      <c r="G10" s="130">
        <v>1900000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s="110" customFormat="1" ht="14.5" x14ac:dyDescent="0.35">
      <c r="B11" s="1"/>
      <c r="C11" s="128" t="s">
        <v>99</v>
      </c>
      <c r="D11" s="126" t="s">
        <v>5</v>
      </c>
      <c r="E11" s="156">
        <v>1</v>
      </c>
      <c r="F11" s="155"/>
      <c r="G11" s="156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s="4" customFormat="1" ht="15" thickBot="1" x14ac:dyDescent="0.4">
      <c r="A12" s="110"/>
      <c r="B12" s="1"/>
      <c r="C12" s="121"/>
      <c r="D12" s="126"/>
      <c r="E12" s="157"/>
      <c r="F12" s="158"/>
      <c r="G12" s="15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1"/>
      <c r="U12" s="11"/>
    </row>
    <row r="13" spans="1:21" s="4" customFormat="1" ht="15" thickTop="1" x14ac:dyDescent="0.35">
      <c r="A13" s="110"/>
      <c r="B13" s="1"/>
      <c r="C13" s="159" t="s">
        <v>148</v>
      </c>
      <c r="D13" s="126" t="s">
        <v>12</v>
      </c>
      <c r="E13" s="160">
        <v>6465.4132902549927</v>
      </c>
      <c r="F13" s="155"/>
      <c r="G13" s="160">
        <v>6465.4132902549927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1"/>
      <c r="U13" s="11"/>
    </row>
    <row r="14" spans="1:21" s="110" customFormat="1" ht="15" thickBot="1" x14ac:dyDescent="0.4">
      <c r="B14" s="1"/>
      <c r="C14" s="121"/>
      <c r="D14" s="122"/>
      <c r="E14" s="161"/>
      <c r="F14" s="154"/>
      <c r="G14" s="16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s="4" customFormat="1" ht="14.5" thickTop="1" x14ac:dyDescent="0.3">
      <c r="B15" s="1"/>
      <c r="C15" s="125" t="s">
        <v>149</v>
      </c>
      <c r="D15" s="126" t="s">
        <v>150</v>
      </c>
      <c r="E15" s="162">
        <f>+DRI!E11</f>
        <v>1.5</v>
      </c>
      <c r="F15" s="158"/>
      <c r="G15" s="162">
        <f>+DRI!F11</f>
        <v>1.43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1"/>
      <c r="U15" s="11"/>
    </row>
    <row r="16" spans="1:21" s="4" customFormat="1" ht="14" x14ac:dyDescent="0.3">
      <c r="B16" s="1"/>
      <c r="C16" s="163" t="s">
        <v>151</v>
      </c>
      <c r="D16" s="126" t="s">
        <v>14</v>
      </c>
      <c r="E16" s="164">
        <f>'EZDK Rebar'!E26+'EZDK Flat'!E26</f>
        <v>232533.38941578698</v>
      </c>
      <c r="F16" s="158"/>
      <c r="G16" s="164">
        <f>'EFS Rebar'!E26+'ESR Rebar'!E28</f>
        <v>86694.46895315031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1"/>
      <c r="U16" s="11"/>
    </row>
    <row r="17" spans="1:21" s="4" customFormat="1" ht="14" x14ac:dyDescent="0.3">
      <c r="B17" s="1"/>
      <c r="C17" s="128" t="s">
        <v>152</v>
      </c>
      <c r="D17" s="126" t="s">
        <v>14</v>
      </c>
      <c r="E17" s="165">
        <f>E16*E15</f>
        <v>348800.08412368048</v>
      </c>
      <c r="F17" s="166"/>
      <c r="G17" s="165">
        <f>G16*G15</f>
        <v>123973.09060300494</v>
      </c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</row>
    <row r="18" spans="1:21" s="110" customFormat="1" ht="15" thickBot="1" x14ac:dyDescent="0.4">
      <c r="A18" s="4"/>
      <c r="B18" s="1"/>
      <c r="C18" s="121"/>
      <c r="D18" s="122"/>
      <c r="E18" s="154"/>
      <c r="F18" s="154"/>
      <c r="G18" s="15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s="110" customFormat="1" ht="45.75" customHeight="1" thickTop="1" thickBot="1" x14ac:dyDescent="0.4">
      <c r="A19" s="4"/>
      <c r="B19" s="1"/>
      <c r="C19" s="135" t="s">
        <v>17</v>
      </c>
      <c r="D19" s="126"/>
      <c r="E19" s="133"/>
      <c r="F19" s="167"/>
      <c r="G19" s="13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s="110" customFormat="1" ht="15" thickTop="1" x14ac:dyDescent="0.35">
      <c r="A20" s="28"/>
      <c r="B20" s="1"/>
      <c r="C20" s="163" t="s">
        <v>29</v>
      </c>
      <c r="D20" s="126" t="s">
        <v>30</v>
      </c>
      <c r="E20" s="127">
        <v>41.587557374365801</v>
      </c>
      <c r="F20" s="168"/>
      <c r="G20" s="127">
        <v>27.124498167211286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s="110" customFormat="1" ht="14.5" x14ac:dyDescent="0.35">
      <c r="B21" s="1"/>
      <c r="C21" s="163" t="s">
        <v>31</v>
      </c>
      <c r="D21" s="126" t="s">
        <v>32</v>
      </c>
      <c r="E21" s="138">
        <f>+DRI!E12</f>
        <v>292.58</v>
      </c>
      <c r="F21" s="168"/>
      <c r="G21" s="138">
        <f>+DRI!F12</f>
        <v>333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s="110" customFormat="1" ht="14.5" x14ac:dyDescent="0.35">
      <c r="B22" s="1"/>
      <c r="C22" s="163" t="s">
        <v>153</v>
      </c>
      <c r="D22" s="126" t="s">
        <v>110</v>
      </c>
      <c r="E22" s="137">
        <f>E21/28</f>
        <v>10.449285714285713</v>
      </c>
      <c r="F22" s="168"/>
      <c r="G22" s="137">
        <f>G21/28</f>
        <v>11.892857142857142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s="110" customFormat="1" ht="14.5" x14ac:dyDescent="0.35">
      <c r="B23" s="1"/>
      <c r="C23" s="163" t="s">
        <v>35</v>
      </c>
      <c r="D23" s="126" t="s">
        <v>32</v>
      </c>
      <c r="E23" s="138">
        <v>14.353731974076737</v>
      </c>
      <c r="F23" s="168"/>
      <c r="G23" s="138">
        <v>14.353731974076737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s="110" customFormat="1" ht="14.5" x14ac:dyDescent="0.35">
      <c r="B24" s="1"/>
      <c r="C24" s="163" t="s">
        <v>36</v>
      </c>
      <c r="D24" s="126" t="s">
        <v>32</v>
      </c>
      <c r="E24" s="138">
        <v>23.733239443711028</v>
      </c>
      <c r="F24" s="168"/>
      <c r="G24" s="138">
        <v>15.479442661129392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s="110" customFormat="1" ht="14.5" x14ac:dyDescent="0.35">
      <c r="B25" s="1"/>
      <c r="C25" s="163" t="s">
        <v>33</v>
      </c>
      <c r="D25" s="126" t="s">
        <v>32</v>
      </c>
      <c r="E25" s="138">
        <v>1.1750577094378525</v>
      </c>
      <c r="F25" s="168"/>
      <c r="G25" s="138">
        <v>1.1750577094378525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110" customFormat="1" ht="14.5" x14ac:dyDescent="0.35">
      <c r="B26" s="1"/>
      <c r="C26" s="163" t="s">
        <v>114</v>
      </c>
      <c r="D26" s="126" t="s">
        <v>63</v>
      </c>
      <c r="E26" s="138">
        <v>1</v>
      </c>
      <c r="F26" s="168"/>
      <c r="G26" s="138">
        <v>0.65222628785432168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110" customFormat="1" ht="14.5" x14ac:dyDescent="0.35">
      <c r="B27" s="1"/>
      <c r="C27" s="163" t="s">
        <v>154</v>
      </c>
      <c r="D27" s="126" t="s">
        <v>63</v>
      </c>
      <c r="E27" s="138">
        <v>0</v>
      </c>
      <c r="F27" s="168"/>
      <c r="G27" s="138"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110" customFormat="1" ht="14.5" x14ac:dyDescent="0.35">
      <c r="B28" s="1"/>
      <c r="C28" s="163" t="s">
        <v>117</v>
      </c>
      <c r="D28" s="126" t="s">
        <v>63</v>
      </c>
      <c r="E28" s="138">
        <v>1</v>
      </c>
      <c r="F28" s="168"/>
      <c r="G28" s="138">
        <v>0.61145317806101307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4" customFormat="1" ht="14.5" x14ac:dyDescent="0.35">
      <c r="A29" s="110"/>
      <c r="B29" s="1"/>
      <c r="C29" s="128" t="s">
        <v>155</v>
      </c>
      <c r="D29" s="126" t="s">
        <v>63</v>
      </c>
      <c r="E29" s="132">
        <v>1</v>
      </c>
      <c r="F29" s="168"/>
      <c r="G29" s="169">
        <v>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1"/>
      <c r="U29" s="11"/>
    </row>
    <row r="30" spans="1:21" s="110" customFormat="1" ht="15" thickBot="1" x14ac:dyDescent="0.4">
      <c r="B30" s="1"/>
      <c r="C30" s="121"/>
      <c r="D30" s="122"/>
      <c r="E30" s="154"/>
      <c r="F30" s="154"/>
      <c r="G30" s="15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s="110" customFormat="1" ht="45.75" customHeight="1" thickTop="1" thickBot="1" x14ac:dyDescent="0.4">
      <c r="B31" s="1"/>
      <c r="C31" s="135" t="s">
        <v>118</v>
      </c>
      <c r="D31" s="126"/>
      <c r="E31" s="133"/>
      <c r="F31" s="167"/>
      <c r="G31" s="13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s="110" customFormat="1" ht="15" thickTop="1" x14ac:dyDescent="0.35">
      <c r="B32" s="1"/>
      <c r="C32" s="131" t="s">
        <v>156</v>
      </c>
      <c r="D32" s="126"/>
      <c r="E32" s="147"/>
      <c r="F32" s="15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s="110" customFormat="1" ht="14.5" x14ac:dyDescent="0.35">
      <c r="B33" s="1"/>
      <c r="C33" s="131" t="s">
        <v>174</v>
      </c>
      <c r="D33" s="170" t="s">
        <v>120</v>
      </c>
      <c r="E33" s="134">
        <f>+DRI!E8</f>
        <v>130</v>
      </c>
      <c r="F33" s="158"/>
      <c r="G33" s="134">
        <f>+DRI!F8</f>
        <v>136.62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s="110" customFormat="1" ht="14.5" x14ac:dyDescent="0.35">
      <c r="B34" s="1"/>
      <c r="C34" s="163" t="s">
        <v>174</v>
      </c>
      <c r="D34" s="126" t="s">
        <v>157</v>
      </c>
      <c r="E34" s="144">
        <f>(E33*E6)</f>
        <v>2106</v>
      </c>
      <c r="F34" s="171"/>
      <c r="G34" s="144">
        <f>(G33*G6)</f>
        <v>2213.2440000000001</v>
      </c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</row>
    <row r="35" spans="1:21" s="110" customFormat="1" ht="22.5" x14ac:dyDescent="0.35">
      <c r="B35" s="1"/>
      <c r="C35" s="163" t="s">
        <v>29</v>
      </c>
      <c r="D35" s="126" t="s">
        <v>158</v>
      </c>
      <c r="E35" s="172">
        <v>0.90462765322698491</v>
      </c>
      <c r="F35" s="168"/>
      <c r="G35" s="172">
        <v>0.90462765322698491</v>
      </c>
      <c r="H35" s="1"/>
      <c r="I35" s="11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s="110" customFormat="1" ht="14.5" x14ac:dyDescent="0.35">
      <c r="B36" s="1"/>
      <c r="C36" s="163" t="s">
        <v>31</v>
      </c>
      <c r="D36" s="126" t="s">
        <v>159</v>
      </c>
      <c r="E36" s="136">
        <f>+E37*E6/28</f>
        <v>3.1821428571428569</v>
      </c>
      <c r="F36" s="173"/>
      <c r="G36" s="136">
        <f>+G37*G6/28</f>
        <v>3.1821428571428569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s="110" customFormat="1" ht="14.5" x14ac:dyDescent="0.35">
      <c r="B37" s="1"/>
      <c r="C37" s="163" t="s">
        <v>31</v>
      </c>
      <c r="D37" s="126" t="s">
        <v>129</v>
      </c>
      <c r="E37" s="174">
        <f>+DRI!E9</f>
        <v>5.5</v>
      </c>
      <c r="F37" s="168"/>
      <c r="G37" s="174">
        <f>+DRI!F9</f>
        <v>5.5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s="110" customFormat="1" ht="14.5" x14ac:dyDescent="0.35">
      <c r="B38" s="1"/>
      <c r="C38" s="163" t="s">
        <v>35</v>
      </c>
      <c r="D38" s="126" t="s">
        <v>159</v>
      </c>
      <c r="E38" s="138">
        <v>1.7117712748170819E-4</v>
      </c>
      <c r="F38" s="168"/>
      <c r="G38" s="138">
        <v>1.7117712748170819E-4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s="110" customFormat="1" ht="14.5" x14ac:dyDescent="0.35">
      <c r="B39" s="1"/>
      <c r="C39" s="163" t="s">
        <v>36</v>
      </c>
      <c r="D39" s="126" t="s">
        <v>159</v>
      </c>
      <c r="E39" s="138">
        <v>0.65686639686225889</v>
      </c>
      <c r="F39" s="168"/>
      <c r="G39" s="138">
        <v>0.65686639686225889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s="110" customFormat="1" ht="14.5" x14ac:dyDescent="0.35">
      <c r="B40" s="1"/>
      <c r="C40" s="163" t="s">
        <v>33</v>
      </c>
      <c r="D40" s="126" t="s">
        <v>159</v>
      </c>
      <c r="E40" s="138">
        <v>3.978573060121251</v>
      </c>
      <c r="F40" s="168"/>
      <c r="G40" s="138">
        <v>3.8890995439578773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s="110" customFormat="1" ht="14.5" x14ac:dyDescent="0.35">
      <c r="B41" s="1"/>
      <c r="C41" s="163" t="s">
        <v>114</v>
      </c>
      <c r="D41" s="126" t="s">
        <v>122</v>
      </c>
      <c r="E41" s="138">
        <v>24.778635121617349</v>
      </c>
      <c r="F41" s="168"/>
      <c r="G41" s="138">
        <v>24.778635121617349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s="110" customFormat="1" ht="14.5" x14ac:dyDescent="0.35">
      <c r="B42" s="1"/>
      <c r="C42" s="163" t="s">
        <v>154</v>
      </c>
      <c r="D42" s="126" t="s">
        <v>122</v>
      </c>
      <c r="E42" s="138">
        <v>0</v>
      </c>
      <c r="F42" s="168"/>
      <c r="G42" s="138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s="110" customFormat="1" ht="14.5" x14ac:dyDescent="0.35">
      <c r="B43" s="1"/>
      <c r="C43" s="163" t="s">
        <v>117</v>
      </c>
      <c r="D43" s="126" t="s">
        <v>122</v>
      </c>
      <c r="E43" s="138">
        <v>42.724298537154915</v>
      </c>
      <c r="F43" s="168"/>
      <c r="G43" s="138">
        <v>39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s="4" customFormat="1" ht="14.5" x14ac:dyDescent="0.35">
      <c r="A44" s="110"/>
      <c r="B44" s="1"/>
      <c r="C44" s="128" t="s">
        <v>155</v>
      </c>
      <c r="D44" s="126" t="s">
        <v>122</v>
      </c>
      <c r="E44" s="132">
        <v>35.802216596345183</v>
      </c>
      <c r="F44" s="168"/>
      <c r="G44" s="132">
        <v>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1"/>
      <c r="U44" s="11"/>
    </row>
    <row r="45" spans="1:21" s="110" customFormat="1" ht="15" thickBot="1" x14ac:dyDescent="0.4">
      <c r="B45" s="1"/>
      <c r="C45" s="121"/>
      <c r="D45" s="122"/>
      <c r="E45" s="154"/>
      <c r="F45" s="154"/>
      <c r="G45" s="15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s="110" customFormat="1" thickTop="1" thickBot="1" x14ac:dyDescent="0.4">
      <c r="B46" s="8"/>
      <c r="C46" s="139" t="s">
        <v>160</v>
      </c>
      <c r="D46" s="126"/>
      <c r="E46" s="145"/>
      <c r="F46" s="170"/>
      <c r="G46" s="145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1" s="110" customFormat="1" ht="15" thickTop="1" x14ac:dyDescent="0.35">
      <c r="B47" s="8"/>
      <c r="C47" s="163" t="s">
        <v>74</v>
      </c>
      <c r="D47" s="126" t="s">
        <v>12</v>
      </c>
      <c r="E47" s="127">
        <v>54011351.910000004</v>
      </c>
      <c r="F47" s="175"/>
      <c r="G47" s="127">
        <v>54011351.910000004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s="110" customFormat="1" ht="14.5" x14ac:dyDescent="0.35">
      <c r="A48" s="4"/>
      <c r="B48" s="8"/>
      <c r="C48" s="163" t="s">
        <v>161</v>
      </c>
      <c r="D48" s="126"/>
      <c r="E48" s="140">
        <v>239746417.13999996</v>
      </c>
      <c r="F48" s="175"/>
      <c r="G48" s="140">
        <v>239746417.13999996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 s="93" customFormat="1" ht="14.5" x14ac:dyDescent="0.35">
      <c r="A49" s="110"/>
      <c r="B49" s="8"/>
      <c r="C49" s="128" t="s">
        <v>134</v>
      </c>
      <c r="D49" s="126" t="s">
        <v>12</v>
      </c>
      <c r="E49" s="132">
        <f>347999806.05-239746417.14-E47</f>
        <v>54242037.000000022</v>
      </c>
      <c r="F49" s="175"/>
      <c r="G49" s="132">
        <f>347999806.05-239746417.14-G47</f>
        <v>54242037.000000022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21" s="110" customFormat="1" ht="15" thickBot="1" x14ac:dyDescent="0.4">
      <c r="B50" s="8"/>
      <c r="C50" s="123"/>
      <c r="D50" s="122"/>
      <c r="E50" s="123"/>
      <c r="F50" s="123"/>
      <c r="G50" s="123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 s="4" customFormat="1" ht="32.25" customHeight="1" thickTop="1" thickBot="1" x14ac:dyDescent="0.4">
      <c r="A51" s="110"/>
      <c r="B51" s="1"/>
      <c r="C51" s="141" t="s">
        <v>47</v>
      </c>
      <c r="D51" s="122"/>
      <c r="E51" s="121"/>
      <c r="F51" s="121"/>
      <c r="G51" s="12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1"/>
      <c r="U51" s="11"/>
    </row>
    <row r="52" spans="1:21" s="4" customFormat="1" ht="28.5" customHeight="1" thickTop="1" x14ac:dyDescent="0.35">
      <c r="A52" s="110"/>
      <c r="B52" s="1"/>
      <c r="C52" s="131" t="s">
        <v>162</v>
      </c>
      <c r="D52" s="126" t="s">
        <v>122</v>
      </c>
      <c r="E52" s="147">
        <f>E34*E15</f>
        <v>3159</v>
      </c>
      <c r="F52" s="176"/>
      <c r="G52" s="147">
        <f>G34*G17/G16</f>
        <v>3164.9389200000001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1"/>
      <c r="U52" s="11"/>
    </row>
    <row r="53" spans="1:21" s="4" customFormat="1" ht="28.5" customHeight="1" x14ac:dyDescent="0.3">
      <c r="B53" s="1"/>
      <c r="C53" s="131" t="s">
        <v>29</v>
      </c>
      <c r="D53" s="126" t="s">
        <v>128</v>
      </c>
      <c r="E53" s="148">
        <f>E20*E35</f>
        <v>37.621254431015124</v>
      </c>
      <c r="F53" s="177"/>
      <c r="G53" s="148">
        <f>G20*G35</f>
        <v>24.537571121964</v>
      </c>
      <c r="H53" s="324">
        <f>+G53/(SUM($G$53:$G$61)-$G$54)</f>
        <v>0.30948246079621994</v>
      </c>
      <c r="I53" s="1">
        <f>H53*$J$62</f>
        <v>0.22511533139418047</v>
      </c>
      <c r="J53" s="325">
        <f>+G53-I53</f>
        <v>24.312455790569818</v>
      </c>
      <c r="K53" s="325">
        <v>24.537571121964</v>
      </c>
      <c r="L53" s="1"/>
      <c r="M53" s="1"/>
      <c r="N53" s="1"/>
      <c r="O53" s="1"/>
      <c r="P53" s="1"/>
      <c r="Q53" s="1"/>
      <c r="R53" s="1"/>
      <c r="S53" s="1"/>
      <c r="T53" s="11"/>
      <c r="U53" s="11"/>
    </row>
    <row r="54" spans="1:21" s="4" customFormat="1" ht="28.5" customHeight="1" x14ac:dyDescent="0.55000000000000004">
      <c r="A54" s="110"/>
      <c r="B54" s="1"/>
      <c r="C54" s="131" t="s">
        <v>31</v>
      </c>
      <c r="D54" s="126" t="s">
        <v>130</v>
      </c>
      <c r="E54" s="585">
        <f>E21*E36</f>
        <v>931.03135714285702</v>
      </c>
      <c r="F54" s="176"/>
      <c r="G54" s="148">
        <f>G21*G36</f>
        <v>1059.6535714285715</v>
      </c>
      <c r="H54" s="324"/>
      <c r="I54" s="1"/>
      <c r="J54" s="116"/>
      <c r="K54" s="1"/>
      <c r="L54" s="1"/>
      <c r="M54" s="1"/>
      <c r="N54" s="1"/>
      <c r="O54" s="1"/>
      <c r="P54" s="1"/>
      <c r="Q54" s="1"/>
      <c r="R54" s="1"/>
      <c r="S54" s="1"/>
      <c r="T54" s="11"/>
      <c r="U54" s="11"/>
    </row>
    <row r="55" spans="1:21" s="4" customFormat="1" ht="28.5" customHeight="1" x14ac:dyDescent="0.3">
      <c r="B55" s="1"/>
      <c r="C55" s="131" t="s">
        <v>35</v>
      </c>
      <c r="D55" s="126" t="s">
        <v>130</v>
      </c>
      <c r="E55" s="178">
        <f t="shared" ref="E55:E61" si="0">E23*E38</f>
        <v>2.4570306079648046E-3</v>
      </c>
      <c r="F55" s="179"/>
      <c r="G55" s="178">
        <f t="shared" ref="G55:G61" si="1">G23*G38</f>
        <v>2.4570306079648046E-3</v>
      </c>
      <c r="H55" s="324">
        <f t="shared" ref="H55:H61" si="2">+G55/(SUM($G$53:$G$61)-$G$54)</f>
        <v>3.098953335784429E-5</v>
      </c>
      <c r="I55" s="1">
        <f t="shared" ref="I55:I61" si="3">H55*$J$62</f>
        <v>2.254156521068782E-5</v>
      </c>
      <c r="J55" s="325">
        <f t="shared" ref="J55:J61" si="4">+G55-I55</f>
        <v>2.4344890427541168E-3</v>
      </c>
      <c r="K55" s="1">
        <v>1.6025399525773343E-3</v>
      </c>
      <c r="L55" s="1"/>
      <c r="M55" s="1"/>
      <c r="N55" s="1"/>
      <c r="O55" s="1"/>
      <c r="P55" s="1"/>
      <c r="Q55" s="1"/>
      <c r="R55" s="1"/>
      <c r="S55" s="1"/>
      <c r="T55" s="11"/>
      <c r="U55" s="11"/>
    </row>
    <row r="56" spans="1:21" s="4" customFormat="1" ht="28.5" customHeight="1" x14ac:dyDescent="0.3">
      <c r="B56" s="1"/>
      <c r="C56" s="131" t="s">
        <v>36</v>
      </c>
      <c r="D56" s="126" t="s">
        <v>130</v>
      </c>
      <c r="E56" s="178">
        <f t="shared" si="0"/>
        <v>15.589567479259705</v>
      </c>
      <c r="F56" s="179"/>
      <c r="G56" s="178">
        <f t="shared" si="1"/>
        <v>10.167925726251999</v>
      </c>
      <c r="H56" s="324">
        <f t="shared" si="2"/>
        <v>0.12824393495641917</v>
      </c>
      <c r="I56" s="1">
        <f t="shared" si="3"/>
        <v>9.3283722259199009E-2</v>
      </c>
      <c r="J56" s="325">
        <f t="shared" si="4"/>
        <v>10.0746420039928</v>
      </c>
      <c r="K56" s="1">
        <v>10.167925726251999</v>
      </c>
      <c r="L56" s="1"/>
      <c r="M56" s="1"/>
      <c r="N56" s="1"/>
      <c r="O56" s="1"/>
      <c r="P56" s="1"/>
      <c r="Q56" s="1"/>
      <c r="R56" s="1"/>
      <c r="S56" s="1"/>
      <c r="T56" s="11"/>
      <c r="U56" s="11"/>
    </row>
    <row r="57" spans="1:21" s="4" customFormat="1" ht="28.5" customHeight="1" x14ac:dyDescent="0.3">
      <c r="B57" s="1"/>
      <c r="C57" s="131" t="s">
        <v>33</v>
      </c>
      <c r="D57" s="126" t="s">
        <v>163</v>
      </c>
      <c r="E57" s="178">
        <f t="shared" si="0"/>
        <v>4.6750529468572246</v>
      </c>
      <c r="F57" s="179"/>
      <c r="G57" s="178">
        <f t="shared" si="1"/>
        <v>4.56991640189894</v>
      </c>
      <c r="H57" s="324">
        <f t="shared" si="2"/>
        <v>5.76385073593009E-2</v>
      </c>
      <c r="I57" s="1">
        <f t="shared" si="3"/>
        <v>4.1925838549534418E-2</v>
      </c>
      <c r="J57" s="325">
        <f t="shared" si="4"/>
        <v>4.5279905633494053</v>
      </c>
      <c r="K57" s="1">
        <v>2.980619610615129</v>
      </c>
      <c r="L57" s="1"/>
      <c r="M57" s="1"/>
      <c r="N57" s="1"/>
      <c r="O57" s="1"/>
      <c r="P57" s="1"/>
      <c r="Q57" s="1"/>
      <c r="R57" s="1"/>
      <c r="S57" s="1"/>
      <c r="T57" s="11"/>
      <c r="U57" s="11"/>
    </row>
    <row r="58" spans="1:21" s="4" customFormat="1" ht="28.5" customHeight="1" x14ac:dyDescent="0.3">
      <c r="B58" s="1"/>
      <c r="C58" s="131" t="s">
        <v>114</v>
      </c>
      <c r="D58" s="126" t="s">
        <v>122</v>
      </c>
      <c r="E58" s="178">
        <f t="shared" si="0"/>
        <v>24.778635121617349</v>
      </c>
      <c r="F58" s="180"/>
      <c r="G58" s="178">
        <f t="shared" si="1"/>
        <v>16.161277203469201</v>
      </c>
      <c r="H58" s="324">
        <f t="shared" si="2"/>
        <v>0.2038356532388185</v>
      </c>
      <c r="I58" s="1">
        <f t="shared" si="3"/>
        <v>0.14826859819697527</v>
      </c>
      <c r="J58" s="325">
        <f t="shared" si="4"/>
        <v>16.013008605272226</v>
      </c>
      <c r="K58" s="1">
        <v>16.161277203469201</v>
      </c>
      <c r="L58" s="1"/>
      <c r="M58" s="1"/>
      <c r="N58" s="1"/>
      <c r="O58" s="1"/>
      <c r="P58" s="1"/>
      <c r="Q58" s="1"/>
      <c r="R58" s="1"/>
      <c r="S58" s="1"/>
      <c r="T58" s="11"/>
      <c r="U58" s="11"/>
    </row>
    <row r="59" spans="1:21" s="4" customFormat="1" ht="28.5" customHeight="1" x14ac:dyDescent="0.3">
      <c r="B59" s="1"/>
      <c r="C59" s="131" t="s">
        <v>154</v>
      </c>
      <c r="D59" s="126" t="s">
        <v>122</v>
      </c>
      <c r="E59" s="178">
        <f t="shared" si="0"/>
        <v>0</v>
      </c>
      <c r="F59" s="180"/>
      <c r="G59" s="178">
        <f t="shared" si="1"/>
        <v>0</v>
      </c>
      <c r="H59" s="324">
        <f t="shared" si="2"/>
        <v>0</v>
      </c>
      <c r="I59" s="1">
        <f t="shared" si="3"/>
        <v>0</v>
      </c>
      <c r="J59" s="325">
        <f t="shared" si="4"/>
        <v>0</v>
      </c>
      <c r="K59" s="1">
        <v>0</v>
      </c>
      <c r="L59" s="1"/>
      <c r="M59" s="1"/>
      <c r="N59" s="1"/>
      <c r="O59" s="1"/>
      <c r="P59" s="1"/>
      <c r="Q59" s="1"/>
      <c r="R59" s="1"/>
      <c r="S59" s="1"/>
      <c r="T59" s="11"/>
      <c r="U59" s="11"/>
    </row>
    <row r="60" spans="1:21" s="4" customFormat="1" ht="28.5" customHeight="1" x14ac:dyDescent="0.3">
      <c r="B60" s="1"/>
      <c r="C60" s="131" t="s">
        <v>117</v>
      </c>
      <c r="D60" s="126" t="s">
        <v>122</v>
      </c>
      <c r="E60" s="178">
        <f t="shared" si="0"/>
        <v>42.724298537154915</v>
      </c>
      <c r="F60" s="180"/>
      <c r="G60" s="178">
        <f t="shared" si="1"/>
        <v>23.846673944379511</v>
      </c>
      <c r="H60" s="324">
        <f t="shared" si="2"/>
        <v>0.3007684541158841</v>
      </c>
      <c r="I60" s="1">
        <f t="shared" si="3"/>
        <v>0.21877682517780861</v>
      </c>
      <c r="J60" s="325">
        <f t="shared" si="4"/>
        <v>23.627897119201702</v>
      </c>
      <c r="K60" s="1">
        <v>25.436825226318589</v>
      </c>
      <c r="L60" s="1"/>
      <c r="M60" s="1"/>
      <c r="N60" s="1"/>
      <c r="O60" s="1"/>
      <c r="P60" s="1"/>
      <c r="Q60" s="1"/>
      <c r="R60" s="1"/>
      <c r="S60" s="1"/>
      <c r="T60" s="11"/>
      <c r="U60" s="11"/>
    </row>
    <row r="61" spans="1:21" s="4" customFormat="1" ht="28.5" customHeight="1" x14ac:dyDescent="0.3">
      <c r="B61" s="1"/>
      <c r="C61" s="323" t="s">
        <v>155</v>
      </c>
      <c r="D61" s="126" t="s">
        <v>122</v>
      </c>
      <c r="E61" s="181">
        <f t="shared" si="0"/>
        <v>35.802216596345183</v>
      </c>
      <c r="F61" s="180"/>
      <c r="G61" s="178">
        <f t="shared" si="1"/>
        <v>0</v>
      </c>
      <c r="H61" s="324">
        <f t="shared" si="2"/>
        <v>0</v>
      </c>
      <c r="I61" s="1">
        <f t="shared" si="3"/>
        <v>0</v>
      </c>
      <c r="J61" s="325">
        <f t="shared" si="4"/>
        <v>0</v>
      </c>
      <c r="K61" s="1">
        <v>0</v>
      </c>
      <c r="L61" s="1"/>
      <c r="M61" s="1"/>
      <c r="N61" s="1"/>
      <c r="O61" s="1"/>
      <c r="P61" s="1"/>
      <c r="Q61" s="1"/>
      <c r="R61" s="1"/>
      <c r="S61" s="1"/>
      <c r="T61" s="11"/>
      <c r="U61" s="11"/>
    </row>
    <row r="62" spans="1:21" s="4" customFormat="1" ht="28.5" customHeight="1" thickBot="1" x14ac:dyDescent="0.35">
      <c r="B62" s="1"/>
      <c r="C62" s="142"/>
      <c r="D62" s="126"/>
      <c r="E62" s="586">
        <f>+SUM(E53:E61)/E6</f>
        <v>67.421286375661396</v>
      </c>
      <c r="F62" s="180"/>
      <c r="G62" s="182">
        <f>SUM(G53:G61)/G6</f>
        <v>70.304900793650802</v>
      </c>
      <c r="H62" s="1">
        <v>70.260000000000005</v>
      </c>
      <c r="I62" s="70">
        <f>G62-H62</f>
        <v>4.49007936507968E-2</v>
      </c>
      <c r="J62" s="1">
        <f>+I62*G6</f>
        <v>0.72739285714290813</v>
      </c>
      <c r="K62" s="1"/>
      <c r="L62" s="1"/>
      <c r="M62" s="1"/>
      <c r="N62" s="1"/>
      <c r="O62" s="1"/>
      <c r="P62" s="1"/>
      <c r="Q62" s="1"/>
      <c r="R62" s="1"/>
      <c r="S62" s="1"/>
      <c r="T62" s="11"/>
      <c r="U62" s="11"/>
    </row>
    <row r="63" spans="1:21" s="119" customFormat="1" ht="31.5" customHeight="1" thickTop="1" x14ac:dyDescent="0.3">
      <c r="A63" s="4"/>
      <c r="B63" s="117"/>
      <c r="C63" s="150" t="s">
        <v>164</v>
      </c>
      <c r="D63" s="126"/>
      <c r="E63" s="183">
        <f>(E15-1)*E34</f>
        <v>1053</v>
      </c>
      <c r="F63" s="167"/>
      <c r="G63" s="183">
        <f>(G15-1)*G34</f>
        <v>951.69491999999991</v>
      </c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8"/>
      <c r="U63" s="118"/>
    </row>
    <row r="64" spans="1:21" s="119" customFormat="1" ht="31.5" customHeight="1" x14ac:dyDescent="0.3">
      <c r="A64" s="4"/>
      <c r="B64" s="117"/>
      <c r="C64" s="184" t="s">
        <v>165</v>
      </c>
      <c r="D64" s="126"/>
      <c r="E64" s="185">
        <f>SUM(E53:E61)</f>
        <v>1092.2248392857146</v>
      </c>
      <c r="F64" s="167"/>
      <c r="G64" s="185">
        <f>SUM(G53:G61)</f>
        <v>1138.939392857143</v>
      </c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8"/>
      <c r="U64" s="118"/>
    </row>
    <row r="65" spans="1:21" s="119" customFormat="1" ht="31.5" customHeight="1" x14ac:dyDescent="0.3">
      <c r="A65" s="4"/>
      <c r="B65" s="117"/>
      <c r="C65" s="186" t="s">
        <v>166</v>
      </c>
      <c r="D65" s="126"/>
      <c r="E65" s="149">
        <f>E10*(E63+E64)</f>
        <v>6435674517.8571434</v>
      </c>
      <c r="F65" s="167"/>
      <c r="G65" s="149">
        <f>G10*(G63+G64)</f>
        <v>3972205194.4285717</v>
      </c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8"/>
      <c r="U65" s="118"/>
    </row>
    <row r="66" spans="1:21" s="4" customFormat="1" ht="22.5" customHeight="1" x14ac:dyDescent="0.3">
      <c r="B66" s="1"/>
      <c r="C66" s="121"/>
      <c r="D66" s="122"/>
      <c r="E66" s="187"/>
      <c r="F66" s="121"/>
      <c r="G66" s="18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1"/>
      <c r="U66" s="11"/>
    </row>
    <row r="67" spans="1:21" s="4" customFormat="1" ht="22.5" customHeight="1" thickBot="1" x14ac:dyDescent="0.35">
      <c r="B67" s="1"/>
      <c r="C67" s="121"/>
      <c r="D67" s="122"/>
      <c r="E67" s="187"/>
      <c r="F67" s="121"/>
      <c r="G67" s="18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1"/>
      <c r="U67" s="11"/>
    </row>
    <row r="68" spans="1:21" s="119" customFormat="1" ht="31.5" customHeight="1" thickTop="1" x14ac:dyDescent="0.3">
      <c r="A68" s="4"/>
      <c r="B68" s="117"/>
      <c r="C68" s="150" t="s">
        <v>167</v>
      </c>
      <c r="D68" s="126" t="s">
        <v>122</v>
      </c>
      <c r="E68" s="183">
        <f>SUM(E52:E61)</f>
        <v>4251.2248392857146</v>
      </c>
      <c r="F68" s="167"/>
      <c r="G68" s="183">
        <f>SUM(G52:G61)</f>
        <v>4303.8783128571431</v>
      </c>
      <c r="H68" s="200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8"/>
      <c r="U68" s="118"/>
    </row>
    <row r="69" spans="1:21" s="119" customFormat="1" ht="31.5" customHeight="1" x14ac:dyDescent="0.3">
      <c r="A69" s="4"/>
      <c r="B69" s="117"/>
      <c r="C69" s="186" t="s">
        <v>168</v>
      </c>
      <c r="D69" s="126" t="s">
        <v>12</v>
      </c>
      <c r="E69" s="149">
        <f>E68*E16</f>
        <v>988551721.04769146</v>
      </c>
      <c r="F69" s="167"/>
      <c r="G69" s="149">
        <f>G68*G16</f>
        <v>373122444.77213055</v>
      </c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8"/>
      <c r="U69" s="118"/>
    </row>
    <row r="70" spans="1:21" s="4" customFormat="1" ht="22.5" customHeight="1" thickBot="1" x14ac:dyDescent="0.35">
      <c r="B70" s="1"/>
      <c r="C70" s="121"/>
      <c r="D70" s="126"/>
      <c r="E70" s="154"/>
      <c r="F70" s="121"/>
      <c r="G70" s="15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1"/>
      <c r="U70" s="11"/>
    </row>
    <row r="71" spans="1:21" s="119" customFormat="1" ht="33" customHeight="1" thickTop="1" x14ac:dyDescent="0.3">
      <c r="A71" s="4"/>
      <c r="B71" s="117"/>
      <c r="C71" s="188" t="s">
        <v>74</v>
      </c>
      <c r="D71" s="126" t="s">
        <v>12</v>
      </c>
      <c r="E71" s="147">
        <f>E47</f>
        <v>54011351.910000004</v>
      </c>
      <c r="F71" s="167"/>
      <c r="G71" s="147">
        <f>G47</f>
        <v>54011351.910000004</v>
      </c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8"/>
      <c r="U71" s="118"/>
    </row>
    <row r="72" spans="1:21" s="119" customFormat="1" ht="33" customHeight="1" x14ac:dyDescent="0.3">
      <c r="A72" s="4"/>
      <c r="B72" s="117"/>
      <c r="C72" s="189" t="s">
        <v>75</v>
      </c>
      <c r="D72" s="126" t="s">
        <v>12</v>
      </c>
      <c r="E72" s="144">
        <f>E48</f>
        <v>239746417.13999996</v>
      </c>
      <c r="F72" s="167"/>
      <c r="G72" s="144">
        <f>G48</f>
        <v>239746417.13999996</v>
      </c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8"/>
      <c r="U72" s="118"/>
    </row>
    <row r="73" spans="1:21" s="119" customFormat="1" ht="33" customHeight="1" x14ac:dyDescent="0.3">
      <c r="A73" s="4"/>
      <c r="B73" s="117"/>
      <c r="C73" s="189" t="s">
        <v>76</v>
      </c>
      <c r="D73" s="126" t="s">
        <v>12</v>
      </c>
      <c r="E73" s="144">
        <f>E49</f>
        <v>54242037.000000022</v>
      </c>
      <c r="F73" s="167"/>
      <c r="G73" s="144">
        <f>G49</f>
        <v>54242037.000000022</v>
      </c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8"/>
      <c r="U73" s="118"/>
    </row>
    <row r="74" spans="1:21" s="119" customFormat="1" ht="33" customHeight="1" x14ac:dyDescent="0.3">
      <c r="A74" s="4"/>
      <c r="B74" s="117"/>
      <c r="C74" s="189" t="s">
        <v>77</v>
      </c>
      <c r="D74" s="126" t="s">
        <v>122</v>
      </c>
      <c r="E74" s="143">
        <f>E71/E$16</f>
        <v>232.27353304270508</v>
      </c>
      <c r="F74" s="167"/>
      <c r="G74" s="143">
        <f>G71/G$16</f>
        <v>623.00804840488422</v>
      </c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8"/>
      <c r="U74" s="118"/>
    </row>
    <row r="75" spans="1:21" s="119" customFormat="1" ht="33" customHeight="1" x14ac:dyDescent="0.3">
      <c r="A75" s="4"/>
      <c r="B75" s="117"/>
      <c r="C75" s="189" t="s">
        <v>78</v>
      </c>
      <c r="D75" s="126" t="s">
        <v>122</v>
      </c>
      <c r="E75" s="144">
        <f>E72/E$16</f>
        <v>1031.0193204611815</v>
      </c>
      <c r="F75" s="167"/>
      <c r="G75" s="144">
        <f>G72/G$16</f>
        <v>2765.4176792934613</v>
      </c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8"/>
      <c r="U75" s="118"/>
    </row>
    <row r="76" spans="1:21" s="119" customFormat="1" ht="33" customHeight="1" x14ac:dyDescent="0.3">
      <c r="A76" s="4"/>
      <c r="B76" s="117"/>
      <c r="C76" s="151" t="s">
        <v>79</v>
      </c>
      <c r="D76" s="126" t="s">
        <v>122</v>
      </c>
      <c r="E76" s="149">
        <f>E73/E$16</f>
        <v>233.26558450929053</v>
      </c>
      <c r="F76" s="167"/>
      <c r="G76" s="149">
        <f>G73/G$16</f>
        <v>625.66894583912176</v>
      </c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8"/>
      <c r="U76" s="118"/>
    </row>
    <row r="77" spans="1:21" s="4" customFormat="1" ht="22.5" customHeight="1" thickBot="1" x14ac:dyDescent="0.35">
      <c r="B77" s="1"/>
      <c r="C77" s="121"/>
      <c r="D77" s="126"/>
      <c r="E77" s="190"/>
      <c r="F77" s="167"/>
      <c r="G77" s="19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1"/>
      <c r="U77" s="11"/>
    </row>
    <row r="78" spans="1:21" s="119" customFormat="1" ht="33" customHeight="1" thickTop="1" x14ac:dyDescent="0.3">
      <c r="A78" s="4"/>
      <c r="B78" s="117"/>
      <c r="C78" s="150" t="s">
        <v>169</v>
      </c>
      <c r="D78" s="126" t="s">
        <v>122</v>
      </c>
      <c r="E78" s="147">
        <f>SUM(E74:E76)</f>
        <v>1496.5584380131772</v>
      </c>
      <c r="F78" s="167"/>
      <c r="G78" s="147">
        <f>SUM(G74:G76)</f>
        <v>4014.0946735374673</v>
      </c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8"/>
      <c r="U78" s="118"/>
    </row>
    <row r="79" spans="1:21" s="119" customFormat="1" ht="33" customHeight="1" x14ac:dyDescent="0.3">
      <c r="A79" s="4"/>
      <c r="B79" s="117"/>
      <c r="C79" s="186" t="s">
        <v>170</v>
      </c>
      <c r="D79" s="126" t="s">
        <v>12</v>
      </c>
      <c r="E79" s="149">
        <f>E78*E16</f>
        <v>347999806.05000007</v>
      </c>
      <c r="F79" s="167"/>
      <c r="G79" s="149">
        <f>G78*G16</f>
        <v>347999806.05000001</v>
      </c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8"/>
      <c r="U79" s="118"/>
    </row>
    <row r="80" spans="1:21" s="4" customFormat="1" ht="22.5" customHeight="1" thickBot="1" x14ac:dyDescent="0.35">
      <c r="B80" s="1"/>
      <c r="C80" s="121"/>
      <c r="D80" s="126"/>
      <c r="E80" s="191"/>
      <c r="F80" s="167"/>
      <c r="G80" s="19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1"/>
      <c r="U80" s="11"/>
    </row>
    <row r="81" spans="1:21" s="4" customFormat="1" ht="32.25" customHeight="1" thickTop="1" x14ac:dyDescent="0.3">
      <c r="B81" s="1"/>
      <c r="C81" s="146" t="s">
        <v>171</v>
      </c>
      <c r="D81" s="126" t="s">
        <v>122</v>
      </c>
      <c r="E81" s="147">
        <f>E78+E68</f>
        <v>5747.7832772988913</v>
      </c>
      <c r="F81" s="167"/>
      <c r="G81" s="147">
        <f>G78+G68</f>
        <v>8317.9729863946104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1"/>
      <c r="U81" s="11"/>
    </row>
    <row r="82" spans="1:21" s="4" customFormat="1" ht="32.25" customHeight="1" x14ac:dyDescent="0.3">
      <c r="B82" s="1"/>
      <c r="C82" s="128" t="s">
        <v>172</v>
      </c>
      <c r="D82" s="126" t="s">
        <v>12</v>
      </c>
      <c r="E82" s="149">
        <f>E81*E16</f>
        <v>1336551527.0976915</v>
      </c>
      <c r="F82" s="167"/>
      <c r="G82" s="149">
        <f>G81*G16</f>
        <v>721122250.82213056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1"/>
      <c r="U82" s="11"/>
    </row>
    <row r="83" spans="1:21" s="4" customFormat="1" ht="22.5" customHeight="1" thickBot="1" x14ac:dyDescent="0.35">
      <c r="B83" s="1"/>
      <c r="C83" s="121"/>
      <c r="D83" s="126"/>
      <c r="E83" s="191"/>
      <c r="F83" s="167"/>
      <c r="G83" s="19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1"/>
      <c r="U83" s="11"/>
    </row>
    <row r="84" spans="1:21" s="119" customFormat="1" ht="27.75" customHeight="1" thickTop="1" x14ac:dyDescent="0.3">
      <c r="A84" s="4"/>
      <c r="B84" s="117"/>
      <c r="C84" s="188" t="s">
        <v>84</v>
      </c>
      <c r="D84" s="170" t="s">
        <v>5</v>
      </c>
      <c r="E84" s="152">
        <f>E82/'[1]Production Q. &amp; Sales (2)'!D95</f>
        <v>0.17139532982581099</v>
      </c>
      <c r="F84" s="158"/>
      <c r="G84" s="152">
        <f>G82/'[1]Production Q. &amp; Sales (2)'!D95</f>
        <v>9.2474538780244336E-2</v>
      </c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8"/>
      <c r="U84" s="118"/>
    </row>
    <row r="85" spans="1:21" s="119" customFormat="1" ht="27.75" customHeight="1" x14ac:dyDescent="0.3">
      <c r="A85" s="4"/>
      <c r="B85" s="117"/>
      <c r="C85" s="189" t="s">
        <v>85</v>
      </c>
      <c r="D85" s="170" t="s">
        <v>122</v>
      </c>
      <c r="E85" s="144">
        <f>E81</f>
        <v>5747.7832772988913</v>
      </c>
      <c r="F85" s="158"/>
      <c r="G85" s="144">
        <f>G81</f>
        <v>8317.9729863946104</v>
      </c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8"/>
      <c r="U85" s="118"/>
    </row>
    <row r="86" spans="1:21" s="119" customFormat="1" ht="27.75" customHeight="1" x14ac:dyDescent="0.3">
      <c r="A86" s="4"/>
      <c r="B86" s="117"/>
      <c r="C86" s="189" t="s">
        <v>86</v>
      </c>
      <c r="D86" s="170" t="s">
        <v>122</v>
      </c>
      <c r="E86" s="144">
        <f>'[1]Production Q. &amp; Sales (2)'!D95/'[1]Production Q. &amp; Sales (2)'!D90</f>
        <v>6465.4132902549927</v>
      </c>
      <c r="F86" s="158"/>
      <c r="G86" s="144">
        <f>'[1]Production Q. &amp; Sales (2)'!D95/'[1]Production Q. &amp; Sales (2)'!D90</f>
        <v>6465.4132902549927</v>
      </c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8"/>
      <c r="U86" s="118"/>
    </row>
    <row r="87" spans="1:21" s="119" customFormat="1" ht="27.75" customHeight="1" x14ac:dyDescent="0.3">
      <c r="A87" s="4"/>
      <c r="B87" s="117"/>
      <c r="C87" s="151" t="s">
        <v>87</v>
      </c>
      <c r="D87" s="170" t="s">
        <v>122</v>
      </c>
      <c r="E87" s="149">
        <f>E86-E85</f>
        <v>717.63001295610138</v>
      </c>
      <c r="F87" s="158"/>
      <c r="G87" s="149">
        <f>G86-G85</f>
        <v>-1852.5596961396177</v>
      </c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8"/>
      <c r="U87" s="118"/>
    </row>
    <row r="88" spans="1:21" s="110" customFormat="1" ht="14.5" x14ac:dyDescent="0.35">
      <c r="A88" s="4"/>
      <c r="B88" s="1"/>
      <c r="C88" s="121"/>
      <c r="D88" s="122"/>
      <c r="E88" s="121"/>
      <c r="F88" s="121"/>
      <c r="G88" s="12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s="110" customFormat="1" ht="14.5" x14ac:dyDescent="0.35">
      <c r="A89" s="4"/>
      <c r="B89" s="1"/>
      <c r="C89" s="121"/>
      <c r="D89" s="122"/>
      <c r="E89" s="121"/>
      <c r="F89" s="121"/>
      <c r="G89" s="12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s="110" customFormat="1" ht="14.5" x14ac:dyDescent="0.35">
      <c r="A90" s="4"/>
      <c r="B90" s="1"/>
      <c r="C90" s="121"/>
      <c r="D90" s="122"/>
      <c r="E90" s="121"/>
      <c r="F90" s="121"/>
      <c r="G90" s="12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s="110" customFormat="1" ht="14.5" x14ac:dyDescent="0.35">
      <c r="A91" s="4"/>
      <c r="B91" s="1"/>
      <c r="C91" s="121"/>
      <c r="D91" s="122"/>
      <c r="E91" s="121"/>
      <c r="F91" s="121"/>
      <c r="G91" s="12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s="110" customFormat="1" ht="14.5" x14ac:dyDescent="0.35">
      <c r="A92" s="4"/>
      <c r="B92" s="1"/>
      <c r="C92" s="121"/>
      <c r="D92" s="122"/>
      <c r="E92" s="121"/>
      <c r="F92" s="121"/>
      <c r="G92" s="12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s="110" customFormat="1" ht="14.5" x14ac:dyDescent="0.35">
      <c r="A93" s="4"/>
      <c r="B93" s="1"/>
      <c r="C93" s="121"/>
      <c r="D93" s="122"/>
      <c r="E93" s="121"/>
      <c r="F93" s="121"/>
      <c r="G93" s="12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s="110" customFormat="1" ht="14.5" x14ac:dyDescent="0.35">
      <c r="A94" s="4"/>
      <c r="B94" s="1"/>
      <c r="C94" s="121"/>
      <c r="D94" s="122"/>
      <c r="E94" s="121"/>
      <c r="F94" s="121"/>
      <c r="G94" s="12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s="110" customFormat="1" ht="14.5" x14ac:dyDescent="0.35">
      <c r="A95" s="4"/>
      <c r="B95" s="1"/>
      <c r="C95" s="121"/>
      <c r="D95" s="122"/>
      <c r="E95" s="121"/>
      <c r="F95" s="121"/>
      <c r="G95" s="12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s="110" customFormat="1" ht="14.5" x14ac:dyDescent="0.35">
      <c r="A96" s="4"/>
      <c r="B96" s="1"/>
      <c r="C96" s="121"/>
      <c r="D96" s="122"/>
      <c r="E96" s="121"/>
      <c r="F96" s="121"/>
      <c r="G96" s="12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s="110" customFormat="1" ht="14.5" x14ac:dyDescent="0.35">
      <c r="A97" s="4"/>
      <c r="B97" s="1"/>
      <c r="C97" s="121"/>
      <c r="D97" s="122"/>
      <c r="E97" s="121"/>
      <c r="F97" s="121"/>
      <c r="G97" s="12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s="110" customFormat="1" ht="14.5" x14ac:dyDescent="0.35">
      <c r="A98" s="4"/>
      <c r="B98" s="1"/>
      <c r="C98" s="121"/>
      <c r="D98" s="122"/>
      <c r="E98" s="121"/>
      <c r="F98" s="121"/>
      <c r="G98" s="12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s="110" customFormat="1" ht="14.5" x14ac:dyDescent="0.35">
      <c r="B99" s="1"/>
      <c r="C99" s="121"/>
      <c r="D99" s="122"/>
      <c r="E99" s="121"/>
      <c r="F99" s="121"/>
      <c r="G99" s="12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s="110" customFormat="1" ht="14.5" x14ac:dyDescent="0.35">
      <c r="B100" s="1"/>
      <c r="C100" s="121"/>
      <c r="D100" s="122"/>
      <c r="E100" s="121"/>
      <c r="F100" s="121"/>
      <c r="G100" s="12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s="110" customFormat="1" ht="14.5" x14ac:dyDescent="0.35">
      <c r="B101" s="1"/>
      <c r="C101" s="121"/>
      <c r="D101" s="122"/>
      <c r="E101" s="121"/>
      <c r="F101" s="121"/>
      <c r="G101" s="12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s="110" customFormat="1" ht="14.5" x14ac:dyDescent="0.35">
      <c r="B102" s="1"/>
      <c r="C102" s="121"/>
      <c r="D102" s="122"/>
      <c r="E102" s="121"/>
      <c r="F102" s="121"/>
      <c r="G102" s="19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</sheetData>
  <mergeCells count="1">
    <mergeCell ref="E2:F2"/>
  </mergeCells>
  <pageMargins left="0.7" right="0.7" top="0.75" bottom="0.75" header="0.3" footer="0.3"/>
  <pageSetup scale="83" orientation="portrait" r:id="rId1"/>
  <headerFooter>
    <oddFooter>&amp;C&amp;1#&amp;"Calibri"&amp;10&amp;K737373EZDK Business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6EBD"/>
  </sheetPr>
  <dimension ref="B1:V361"/>
  <sheetViews>
    <sheetView showGridLines="0" topLeftCell="A85" zoomScale="130" zoomScaleNormal="130" workbookViewId="0">
      <selection activeCell="D104" sqref="D104"/>
    </sheetView>
  </sheetViews>
  <sheetFormatPr defaultColWidth="9.1796875" defaultRowHeight="13.5" x14ac:dyDescent="0.35"/>
  <cols>
    <col min="1" max="1" width="9.1796875" style="4"/>
    <col min="2" max="2" width="2.26953125" style="4" customWidth="1"/>
    <col min="3" max="3" width="31.81640625" style="108" customWidth="1"/>
    <col min="4" max="4" width="7.81640625" style="109" customWidth="1"/>
    <col min="5" max="5" width="16.453125" style="4" customWidth="1"/>
    <col min="6" max="6" width="3.7265625" style="4" customWidth="1"/>
    <col min="7" max="7" width="16.81640625" style="4" bestFit="1" customWidth="1"/>
    <col min="8" max="8" width="14.453125" style="4" bestFit="1" customWidth="1"/>
    <col min="9" max="9" width="11.26953125" style="4" customWidth="1"/>
    <col min="10" max="10" width="19.54296875" style="4" bestFit="1" customWidth="1"/>
    <col min="11" max="16384" width="9.1796875" style="4"/>
  </cols>
  <sheetData>
    <row r="1" spans="2:22" ht="13" x14ac:dyDescent="0.3"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2:22" s="6" customFormat="1" ht="15" thickBot="1" x14ac:dyDescent="0.4">
      <c r="B2" s="2"/>
      <c r="C2" s="2"/>
      <c r="D2" s="3"/>
      <c r="E2" s="5" t="str">
        <f>'[1]EFS MS Flat'!N2</f>
        <v xml:space="preserve">Base 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14" thickTop="1" thickBot="1" x14ac:dyDescent="0.35">
      <c r="B3" s="2"/>
      <c r="C3" s="7" t="s">
        <v>0</v>
      </c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2" ht="14" thickTop="1" thickBot="1" x14ac:dyDescent="0.35">
      <c r="B4" s="2"/>
      <c r="C4" s="2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2" ht="14.5" thickTop="1" x14ac:dyDescent="0.3">
      <c r="B5" s="2"/>
      <c r="C5" s="9" t="s">
        <v>1</v>
      </c>
      <c r="D5" s="3"/>
      <c r="E5" s="10">
        <f>+Billet!D7</f>
        <v>16.2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2" ht="14" x14ac:dyDescent="0.3">
      <c r="B6" s="2"/>
      <c r="C6" s="12" t="s">
        <v>2</v>
      </c>
      <c r="D6" s="3"/>
      <c r="E6" s="1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2:22" ht="7.5" customHeight="1" thickBot="1" x14ac:dyDescent="0.35">
      <c r="B7" s="2"/>
      <c r="C7" s="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2" ht="15" thickTop="1" thickBot="1" x14ac:dyDescent="0.35">
      <c r="B8" s="2"/>
      <c r="C8" s="9" t="s">
        <v>3</v>
      </c>
      <c r="D8" s="3"/>
      <c r="E8" s="14">
        <v>2200000</v>
      </c>
      <c r="F8" s="1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2:22" ht="14.5" thickTop="1" x14ac:dyDescent="0.3">
      <c r="B9" s="2"/>
      <c r="C9" s="9" t="s">
        <v>4</v>
      </c>
      <c r="D9" s="3" t="s">
        <v>5</v>
      </c>
      <c r="E9" s="16">
        <f>E10/E8</f>
        <v>4.5454545454545456E-2</v>
      </c>
      <c r="F9" s="1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2:22" ht="14" x14ac:dyDescent="0.3">
      <c r="B10" s="2"/>
      <c r="C10" s="12" t="s">
        <v>6</v>
      </c>
      <c r="D10" s="3"/>
      <c r="E10" s="19">
        <f>'Market Share'!E6*1000</f>
        <v>100000</v>
      </c>
      <c r="F10" s="17"/>
      <c r="G10" s="23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2:22" ht="14" x14ac:dyDescent="0.3">
      <c r="B11" s="2"/>
      <c r="C11" s="12"/>
      <c r="D11" s="3"/>
      <c r="E11" s="18"/>
      <c r="F11" s="1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2:22" ht="14" x14ac:dyDescent="0.3">
      <c r="B12" s="2"/>
      <c r="C12" s="12" t="s">
        <v>7</v>
      </c>
      <c r="D12" s="3" t="s">
        <v>5</v>
      </c>
      <c r="E12" s="16"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2" ht="14" x14ac:dyDescent="0.3">
      <c r="B13" s="2"/>
      <c r="C13" s="12" t="s">
        <v>8</v>
      </c>
      <c r="D13" s="3" t="s">
        <v>5</v>
      </c>
      <c r="E13" s="16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2:22" ht="6.75" customHeight="1" x14ac:dyDescent="0.3">
      <c r="B14" s="2"/>
      <c r="C14" s="12"/>
      <c r="D14" s="3"/>
      <c r="E14" s="1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2:22" ht="14" x14ac:dyDescent="0.3">
      <c r="B15" s="2"/>
      <c r="C15" s="12" t="s">
        <v>9</v>
      </c>
      <c r="D15" s="3" t="s">
        <v>10</v>
      </c>
      <c r="E15" s="20"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2:22" ht="14" x14ac:dyDescent="0.3">
      <c r="B16" s="2"/>
      <c r="C16" s="12" t="s">
        <v>11</v>
      </c>
      <c r="D16" s="3" t="s">
        <v>10</v>
      </c>
      <c r="E16" s="20"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2:20" ht="14" x14ac:dyDescent="0.3">
      <c r="B17" s="2"/>
      <c r="C17" s="12" t="s">
        <v>11</v>
      </c>
      <c r="D17" s="3" t="s">
        <v>12</v>
      </c>
      <c r="E17" s="13">
        <f>'Market Share'!E29</f>
        <v>9300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2:20" ht="8.25" customHeight="1" thickBot="1" x14ac:dyDescent="0.35">
      <c r="B18" s="2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2:20" ht="14.5" thickTop="1" x14ac:dyDescent="0.3">
      <c r="B19" s="2"/>
      <c r="C19" s="21" t="s">
        <v>13</v>
      </c>
      <c r="D19" s="22" t="s">
        <v>14</v>
      </c>
      <c r="E19" s="23">
        <f>E106</f>
        <v>159024.99796280536</v>
      </c>
      <c r="F19" s="22"/>
      <c r="G19" s="234">
        <f>E19*(E73+E74)</f>
        <v>11221626.225019295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2:20" ht="13" x14ac:dyDescent="0.3">
      <c r="B20" s="2"/>
      <c r="C20" s="24" t="s">
        <v>15</v>
      </c>
      <c r="D20" s="22" t="s">
        <v>5</v>
      </c>
      <c r="E20" s="111">
        <f>+Billet!E17%</f>
        <v>0.84930000000000005</v>
      </c>
      <c r="F20" s="2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2:20" ht="13" x14ac:dyDescent="0.3">
      <c r="B21" s="2"/>
      <c r="C21" s="29" t="s">
        <v>16</v>
      </c>
      <c r="D21" s="22" t="s">
        <v>14</v>
      </c>
      <c r="E21" s="30">
        <f>E19/E20</f>
        <v>187242.43254775149</v>
      </c>
      <c r="F21" s="22"/>
      <c r="G21" s="244">
        <f>G19/E104</f>
        <v>71.005404827486061</v>
      </c>
      <c r="H21" s="244">
        <f>G19/E156</f>
        <v>112.21626225019295</v>
      </c>
      <c r="I21" s="244">
        <f>G19/G105</f>
        <v>75.537664710091562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2:20" ht="9" customHeight="1" thickBot="1" x14ac:dyDescent="0.35"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2:20" ht="15" thickTop="1" thickBot="1" x14ac:dyDescent="0.35">
      <c r="B23" s="2"/>
      <c r="C23" s="31" t="s">
        <v>17</v>
      </c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2:20" thickTop="1" x14ac:dyDescent="0.3">
      <c r="B24" s="2"/>
      <c r="C24" s="24" t="s">
        <v>18</v>
      </c>
      <c r="D24" s="32">
        <f>+Billet!E15%</f>
        <v>0.15977</v>
      </c>
      <c r="E24" s="33">
        <f>D24*$E$21</f>
        <v>29915.723448154255</v>
      </c>
      <c r="F24" s="2"/>
      <c r="G24" s="3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2:20" ht="13" x14ac:dyDescent="0.3">
      <c r="B25" s="2"/>
      <c r="C25" s="24" t="s">
        <v>19</v>
      </c>
      <c r="D25" s="32">
        <f>+Billet!E14%</f>
        <v>0.04</v>
      </c>
      <c r="E25" s="35">
        <f>D25*$E$21</f>
        <v>7489.6973019100597</v>
      </c>
      <c r="F25" s="2"/>
      <c r="G25" s="3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2:20" ht="13" x14ac:dyDescent="0.3">
      <c r="B26" s="2"/>
      <c r="C26" s="24" t="s">
        <v>20</v>
      </c>
      <c r="D26" s="32">
        <f>+Billet!E13%</f>
        <v>0.8</v>
      </c>
      <c r="E26" s="35">
        <f>D26*$E$21</f>
        <v>149793.94603820119</v>
      </c>
      <c r="F26" s="2"/>
      <c r="G26" s="3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2:20" ht="13" x14ac:dyDescent="0.3">
      <c r="B27" s="2"/>
      <c r="C27" s="24" t="s">
        <v>21</v>
      </c>
      <c r="D27" s="32">
        <v>0</v>
      </c>
      <c r="E27" s="35">
        <f>D27*$E$21</f>
        <v>0</v>
      </c>
      <c r="F27" s="2"/>
      <c r="G27" s="3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2:20" ht="13" x14ac:dyDescent="0.3">
      <c r="B28" s="2"/>
      <c r="C28" s="24" t="s">
        <v>22</v>
      </c>
      <c r="D28" s="32">
        <v>0</v>
      </c>
      <c r="E28" s="35">
        <f>D28*$E$21</f>
        <v>0</v>
      </c>
      <c r="F28" s="2"/>
      <c r="G28" s="3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2:20" ht="8.25" customHeight="1" x14ac:dyDescent="0.3">
      <c r="B29" s="2"/>
      <c r="C29" s="24"/>
      <c r="D29" s="36"/>
      <c r="E29" s="37"/>
      <c r="F29" s="2"/>
      <c r="G29" s="3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2:20" ht="13" x14ac:dyDescent="0.3">
      <c r="B30" s="2"/>
      <c r="C30" s="24" t="s">
        <v>23</v>
      </c>
      <c r="D30" s="38">
        <v>-3.1038676250844593E-2</v>
      </c>
      <c r="E30" s="39">
        <f>+D30*E21</f>
        <v>-5811.7572442702649</v>
      </c>
      <c r="F30" s="2"/>
      <c r="G30" s="73"/>
      <c r="H30" s="3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2:20" thickBot="1" x14ac:dyDescent="0.35">
      <c r="B31" s="2"/>
      <c r="C31" s="24"/>
      <c r="D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2:20" thickTop="1" x14ac:dyDescent="0.3">
      <c r="B32" s="2"/>
      <c r="C32" s="24" t="s">
        <v>24</v>
      </c>
      <c r="D32" s="3" t="s">
        <v>25</v>
      </c>
      <c r="E32" s="33">
        <v>422.601588476686</v>
      </c>
      <c r="F32" s="40"/>
      <c r="G32" s="34"/>
      <c r="H32" s="3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2:20" ht="13" x14ac:dyDescent="0.3">
      <c r="B33" s="2"/>
      <c r="C33" s="42" t="s">
        <v>26</v>
      </c>
      <c r="D33" s="3" t="s">
        <v>25</v>
      </c>
      <c r="E33" s="43">
        <v>10.508597530041635</v>
      </c>
      <c r="F33" s="15"/>
      <c r="G33" s="34"/>
      <c r="H33" s="3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2:20" ht="13" x14ac:dyDescent="0.3">
      <c r="B34" s="2"/>
      <c r="C34" s="24" t="s">
        <v>27</v>
      </c>
      <c r="D34" s="3" t="s">
        <v>25</v>
      </c>
      <c r="E34" s="90">
        <v>2.5805617152642326</v>
      </c>
      <c r="F34" s="15"/>
      <c r="G34" s="3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2:20" ht="13" x14ac:dyDescent="0.3">
      <c r="B35" s="2"/>
      <c r="C35" s="24" t="s">
        <v>28</v>
      </c>
      <c r="D35" s="3" t="s">
        <v>25</v>
      </c>
      <c r="E35" s="45">
        <v>1.2842586100701208</v>
      </c>
      <c r="F35" s="15"/>
      <c r="G35" s="3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2:20" thickBot="1" x14ac:dyDescent="0.35">
      <c r="B36" s="2"/>
      <c r="C36" s="24"/>
      <c r="D36" s="3"/>
      <c r="E36" s="46"/>
      <c r="F36" s="15"/>
      <c r="G36" s="3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2:20" thickTop="1" x14ac:dyDescent="0.3">
      <c r="B37" s="2"/>
      <c r="C37" s="24" t="s">
        <v>214</v>
      </c>
      <c r="D37" s="22" t="s">
        <v>216</v>
      </c>
      <c r="E37" s="47">
        <f>+Billet!E20</f>
        <v>713.63</v>
      </c>
      <c r="F37" s="15"/>
      <c r="G37" s="34"/>
      <c r="H37" s="3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2:20" ht="13" x14ac:dyDescent="0.3">
      <c r="B38" s="2"/>
      <c r="C38" s="24" t="s">
        <v>215</v>
      </c>
      <c r="D38" s="22" t="s">
        <v>216</v>
      </c>
      <c r="E38" s="43">
        <v>239.71538869801327</v>
      </c>
      <c r="F38" s="15"/>
      <c r="G38" s="34"/>
      <c r="H38" s="3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2:20" ht="13" x14ac:dyDescent="0.3">
      <c r="B39" s="2"/>
      <c r="C39" s="24" t="s">
        <v>31</v>
      </c>
      <c r="D39" s="3" t="s">
        <v>32</v>
      </c>
      <c r="E39" s="43">
        <v>14.593054013829949</v>
      </c>
      <c r="F39" s="15"/>
      <c r="G39" s="34"/>
      <c r="H39" s="3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2:20" ht="13" x14ac:dyDescent="0.3">
      <c r="B40" s="2"/>
      <c r="C40" s="24" t="s">
        <v>33</v>
      </c>
      <c r="D40" s="3" t="s">
        <v>34</v>
      </c>
      <c r="E40" s="48">
        <v>1.5488840367719656</v>
      </c>
      <c r="F40" s="15"/>
      <c r="G40" s="34"/>
      <c r="H40" s="3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2:20" ht="13" x14ac:dyDescent="0.3">
      <c r="B41" s="2"/>
      <c r="C41" s="24" t="s">
        <v>35</v>
      </c>
      <c r="D41" s="3" t="s">
        <v>32</v>
      </c>
      <c r="E41" s="43">
        <v>34.797487538644887</v>
      </c>
      <c r="F41" s="15"/>
      <c r="G41" s="34"/>
      <c r="H41" s="3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2:20" ht="13" x14ac:dyDescent="0.3">
      <c r="B42" s="2"/>
      <c r="C42" s="24" t="s">
        <v>36</v>
      </c>
      <c r="D42" s="3" t="s">
        <v>32</v>
      </c>
      <c r="E42" s="43">
        <v>4.0864981185504865</v>
      </c>
      <c r="F42" s="15"/>
      <c r="G42" s="34"/>
      <c r="H42" s="3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2:20" ht="13" x14ac:dyDescent="0.3">
      <c r="B43" s="2"/>
      <c r="C43" s="24" t="s">
        <v>37</v>
      </c>
      <c r="D43" s="3" t="s">
        <v>32</v>
      </c>
      <c r="E43" s="45">
        <v>0.30455884119407506</v>
      </c>
      <c r="F43" s="15"/>
      <c r="G43" s="34"/>
      <c r="H43" s="3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2:20" thickBot="1" x14ac:dyDescent="0.35">
      <c r="B44" s="2"/>
      <c r="C44" s="24"/>
      <c r="D44" s="3"/>
      <c r="E44" s="15"/>
      <c r="F44" s="15"/>
      <c r="G44" s="3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2:20" thickTop="1" x14ac:dyDescent="0.3">
      <c r="B45" s="2"/>
      <c r="C45" s="42" t="s">
        <v>38</v>
      </c>
      <c r="D45" s="3" t="s">
        <v>25</v>
      </c>
      <c r="E45" s="33">
        <v>0.98684612494664881</v>
      </c>
      <c r="F45" s="15"/>
      <c r="G45" s="3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2:20" ht="13" x14ac:dyDescent="0.3">
      <c r="B46" s="2"/>
      <c r="C46" s="49" t="s">
        <v>39</v>
      </c>
      <c r="D46" s="3" t="s">
        <v>25</v>
      </c>
      <c r="E46" s="45">
        <v>0</v>
      </c>
      <c r="F46" s="15"/>
      <c r="G46" s="3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2:20" ht="9.75" customHeight="1" thickBot="1" x14ac:dyDescent="0.35">
      <c r="B47" s="2"/>
      <c r="C47" s="2"/>
      <c r="D47" s="3"/>
      <c r="E47" s="2"/>
      <c r="F47" s="2"/>
      <c r="G47" s="3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2:20" ht="15" thickTop="1" thickBot="1" x14ac:dyDescent="0.35">
      <c r="B48" s="2"/>
      <c r="C48" s="31" t="s">
        <v>40</v>
      </c>
      <c r="D48" s="3"/>
      <c r="E48" s="2"/>
      <c r="F48" s="2"/>
      <c r="G48" s="3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2:20" thickTop="1" x14ac:dyDescent="0.3">
      <c r="B49" s="2"/>
      <c r="C49" s="24" t="s">
        <v>18</v>
      </c>
      <c r="D49" s="3" t="s">
        <v>41</v>
      </c>
      <c r="E49" s="50">
        <f>+Billet!E10</f>
        <v>300</v>
      </c>
      <c r="F49" s="15"/>
      <c r="G49" s="3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2:20" ht="13" x14ac:dyDescent="0.3">
      <c r="B50" s="2"/>
      <c r="C50" s="24" t="s">
        <v>19</v>
      </c>
      <c r="D50" s="3" t="s">
        <v>41</v>
      </c>
      <c r="E50" s="51">
        <f>+Billet!E9</f>
        <v>300</v>
      </c>
      <c r="F50" s="15"/>
      <c r="G50" s="3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2:20" ht="13" x14ac:dyDescent="0.3">
      <c r="B51" s="2"/>
      <c r="C51" s="24" t="s">
        <v>20</v>
      </c>
      <c r="D51" s="3" t="s">
        <v>41</v>
      </c>
      <c r="E51" s="51">
        <f>+Billet!E8</f>
        <v>262.4212863756614</v>
      </c>
      <c r="F51" s="15"/>
      <c r="G51" s="3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2:20" ht="13" x14ac:dyDescent="0.3">
      <c r="B52" s="2"/>
      <c r="C52" s="24" t="s">
        <v>21</v>
      </c>
      <c r="D52" s="3" t="s">
        <v>41</v>
      </c>
      <c r="E52" s="51">
        <v>0</v>
      </c>
      <c r="F52" s="15"/>
      <c r="G52" s="3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2:20" ht="13" x14ac:dyDescent="0.3">
      <c r="B53" s="2"/>
      <c r="C53" s="24" t="s">
        <v>22</v>
      </c>
      <c r="D53" s="3" t="s">
        <v>41</v>
      </c>
      <c r="E53" s="51">
        <v>0</v>
      </c>
      <c r="F53" s="15"/>
      <c r="G53" s="3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2:20" ht="8.25" customHeight="1" x14ac:dyDescent="0.3">
      <c r="B54" s="2"/>
      <c r="C54" s="24"/>
      <c r="D54" s="3"/>
      <c r="E54" s="51"/>
      <c r="F54" s="15"/>
      <c r="G54" s="3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2:20" ht="13" x14ac:dyDescent="0.3">
      <c r="B55" s="2"/>
      <c r="C55" s="24" t="s">
        <v>42</v>
      </c>
      <c r="D55" s="3" t="s">
        <v>41</v>
      </c>
      <c r="E55" s="53">
        <v>352.50467887873486</v>
      </c>
      <c r="F55" s="15"/>
      <c r="G55" s="3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2:20" ht="10.5" customHeight="1" thickBot="1" x14ac:dyDescent="0.35">
      <c r="B56" s="2"/>
      <c r="C56" s="24"/>
      <c r="D56" s="3"/>
      <c r="E56" s="54"/>
      <c r="F56" s="2"/>
      <c r="G56" s="3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2:20" thickTop="1" x14ac:dyDescent="0.3">
      <c r="B57" s="2"/>
      <c r="C57" s="24" t="s">
        <v>24</v>
      </c>
      <c r="D57" s="3" t="s">
        <v>43</v>
      </c>
      <c r="E57" s="50">
        <v>59.397017556258064</v>
      </c>
      <c r="F57" s="15"/>
      <c r="G57" s="3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2:20" ht="13" x14ac:dyDescent="0.3">
      <c r="B58" s="2"/>
      <c r="C58" s="42" t="s">
        <v>26</v>
      </c>
      <c r="D58" s="3" t="s">
        <v>43</v>
      </c>
      <c r="E58" s="51">
        <v>919.71986265477312</v>
      </c>
      <c r="F58" s="15"/>
      <c r="G58" s="3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2:20" ht="13" x14ac:dyDescent="0.3">
      <c r="B59" s="2"/>
      <c r="C59" s="24" t="s">
        <v>27</v>
      </c>
      <c r="D59" s="3" t="s">
        <v>43</v>
      </c>
      <c r="E59" s="51">
        <v>5841.4012540941003</v>
      </c>
      <c r="F59" s="15"/>
      <c r="G59" s="3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2:20" ht="13" x14ac:dyDescent="0.3">
      <c r="B60" s="2"/>
      <c r="C60" s="24" t="s">
        <v>28</v>
      </c>
      <c r="D60" s="3" t="s">
        <v>43</v>
      </c>
      <c r="E60" s="53">
        <v>233.463515754561</v>
      </c>
      <c r="F60" s="15"/>
      <c r="G60" s="3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2:20" ht="9" customHeight="1" thickBot="1" x14ac:dyDescent="0.35">
      <c r="B61" s="2"/>
      <c r="C61" s="55"/>
      <c r="D61" s="3"/>
      <c r="E61" s="56"/>
      <c r="F61" s="15"/>
      <c r="G61" s="3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2:20" thickTop="1" x14ac:dyDescent="0.3">
      <c r="B62" s="2"/>
      <c r="C62" s="24" t="s">
        <v>29</v>
      </c>
      <c r="D62" s="22" t="s">
        <v>44</v>
      </c>
      <c r="E62" s="57">
        <f>+Billet!E11</f>
        <v>7.0000000000000007E-2</v>
      </c>
      <c r="F62" s="15"/>
      <c r="G62" s="34"/>
      <c r="H62" s="34"/>
      <c r="I62" s="2"/>
      <c r="J62" s="34"/>
      <c r="K62" s="34"/>
      <c r="L62" s="2"/>
      <c r="M62" s="2"/>
      <c r="N62" s="2"/>
      <c r="O62" s="2"/>
      <c r="P62" s="2"/>
      <c r="Q62" s="2"/>
      <c r="R62" s="2"/>
      <c r="S62" s="2"/>
      <c r="T62" s="2"/>
    </row>
    <row r="63" spans="2:20" ht="13" x14ac:dyDescent="0.3">
      <c r="B63" s="2"/>
      <c r="C63" s="24" t="s">
        <v>31</v>
      </c>
      <c r="D63" s="22" t="s">
        <v>45</v>
      </c>
      <c r="E63" s="59">
        <v>0.25072464212651396</v>
      </c>
      <c r="F63" s="15"/>
      <c r="G63" s="34"/>
      <c r="H63" s="34"/>
      <c r="I63" s="2"/>
      <c r="J63" s="34"/>
      <c r="K63" s="34"/>
      <c r="L63" s="2"/>
      <c r="M63" s="2"/>
      <c r="N63" s="2"/>
      <c r="O63" s="2"/>
      <c r="P63" s="2"/>
      <c r="Q63" s="2"/>
      <c r="R63" s="2"/>
      <c r="S63" s="2"/>
      <c r="T63" s="2"/>
    </row>
    <row r="64" spans="2:20" ht="13" x14ac:dyDescent="0.3">
      <c r="B64" s="2"/>
      <c r="C64" s="24" t="s">
        <v>33</v>
      </c>
      <c r="D64" s="22" t="s">
        <v>46</v>
      </c>
      <c r="E64" s="59">
        <v>0.27163955106549381</v>
      </c>
      <c r="F64" s="15"/>
      <c r="G64" s="34"/>
      <c r="H64" s="34"/>
      <c r="I64" s="2"/>
      <c r="J64" s="34"/>
      <c r="K64" s="34"/>
      <c r="L64" s="2"/>
      <c r="M64" s="2"/>
      <c r="N64" s="2"/>
      <c r="O64" s="2"/>
      <c r="P64" s="2"/>
      <c r="Q64" s="2"/>
      <c r="R64" s="2"/>
      <c r="S64" s="2"/>
      <c r="T64" s="2"/>
    </row>
    <row r="65" spans="2:20" ht="13" x14ac:dyDescent="0.3">
      <c r="B65" s="2"/>
      <c r="C65" s="24" t="s">
        <v>35</v>
      </c>
      <c r="D65" s="22" t="s">
        <v>45</v>
      </c>
      <c r="E65" s="59">
        <v>0.17166474630834155</v>
      </c>
      <c r="F65" s="15"/>
      <c r="G65" s="34"/>
      <c r="H65" s="34"/>
      <c r="I65" s="2"/>
      <c r="J65" s="2"/>
      <c r="K65" s="34"/>
      <c r="L65" s="2"/>
      <c r="M65" s="2"/>
      <c r="N65" s="2"/>
      <c r="O65" s="2"/>
      <c r="P65" s="2"/>
      <c r="Q65" s="2"/>
      <c r="R65" s="2"/>
      <c r="S65" s="2"/>
      <c r="T65" s="2"/>
    </row>
    <row r="66" spans="2:20" ht="13" x14ac:dyDescent="0.3">
      <c r="B66" s="2"/>
      <c r="C66" s="24" t="s">
        <v>36</v>
      </c>
      <c r="D66" s="22" t="s">
        <v>45</v>
      </c>
      <c r="E66" s="59">
        <v>0.17166474630834158</v>
      </c>
      <c r="F66" s="15"/>
      <c r="G66" s="34"/>
      <c r="H66" s="34"/>
      <c r="I66" s="2"/>
      <c r="J66" s="2"/>
      <c r="K66" s="34"/>
      <c r="L66" s="2"/>
      <c r="M66" s="2"/>
      <c r="N66" s="2"/>
      <c r="O66" s="2"/>
      <c r="P66" s="2"/>
      <c r="Q66" s="2"/>
      <c r="R66" s="2"/>
      <c r="S66" s="2"/>
      <c r="T66" s="2"/>
    </row>
    <row r="67" spans="2:20" ht="13" x14ac:dyDescent="0.3">
      <c r="B67" s="2"/>
      <c r="C67" s="24" t="s">
        <v>37</v>
      </c>
      <c r="D67" s="22" t="s">
        <v>45</v>
      </c>
      <c r="E67" s="60">
        <v>1.9283673168637039</v>
      </c>
      <c r="F67" s="15"/>
      <c r="G67" s="34"/>
      <c r="H67" s="34"/>
      <c r="I67" s="2"/>
      <c r="J67" s="2"/>
      <c r="K67" s="34"/>
      <c r="L67" s="2"/>
      <c r="M67" s="2"/>
      <c r="N67" s="2"/>
      <c r="O67" s="2"/>
      <c r="P67" s="2"/>
      <c r="Q67" s="2"/>
      <c r="R67" s="2"/>
      <c r="S67" s="2"/>
      <c r="T67" s="2"/>
    </row>
    <row r="68" spans="2:20" thickBot="1" x14ac:dyDescent="0.35">
      <c r="B68" s="2"/>
      <c r="C68" s="24"/>
      <c r="D68" s="3"/>
      <c r="E68" s="56"/>
      <c r="F68" s="15"/>
      <c r="G68" s="3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2:20" thickTop="1" x14ac:dyDescent="0.3">
      <c r="B69" s="2"/>
      <c r="C69" s="42" t="s">
        <v>38</v>
      </c>
      <c r="D69" s="3" t="s">
        <v>41</v>
      </c>
      <c r="E69" s="50">
        <v>0</v>
      </c>
      <c r="F69" s="15"/>
      <c r="G69" s="3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2:20" ht="13" x14ac:dyDescent="0.3">
      <c r="B70" s="2"/>
      <c r="C70" s="49" t="s">
        <v>39</v>
      </c>
      <c r="D70" s="3" t="s">
        <v>41</v>
      </c>
      <c r="E70" s="53">
        <v>0</v>
      </c>
      <c r="F70" s="15"/>
      <c r="G70" s="3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2:20" ht="11.25" customHeight="1" thickBot="1" x14ac:dyDescent="0.35">
      <c r="B71" s="2"/>
      <c r="C71" s="2"/>
      <c r="D71" s="3"/>
      <c r="E71" s="2"/>
      <c r="F71" s="2"/>
      <c r="G71" s="3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2:20" ht="15" thickTop="1" thickBot="1" x14ac:dyDescent="0.35">
      <c r="B72" s="2"/>
      <c r="C72" s="31" t="s">
        <v>47</v>
      </c>
      <c r="D72" s="3"/>
      <c r="E72" s="2"/>
      <c r="F72" s="2"/>
      <c r="G72" s="3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2:20" thickTop="1" x14ac:dyDescent="0.3">
      <c r="B73" s="2"/>
      <c r="C73" s="24" t="s">
        <v>18</v>
      </c>
      <c r="D73" s="3" t="s">
        <v>41</v>
      </c>
      <c r="E73" s="58">
        <f>E24*E49/E$19</f>
        <v>56.435888378664778</v>
      </c>
      <c r="F73" s="63"/>
      <c r="G73" s="233">
        <f>(E73+E74)*E19/E104</f>
        <v>71.005404827486061</v>
      </c>
      <c r="H73" s="584">
        <f>(E73+E74)*E19/E156</f>
        <v>112.21626225019295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2:20" ht="13" x14ac:dyDescent="0.3">
      <c r="B74" s="2"/>
      <c r="C74" s="24" t="s">
        <v>19</v>
      </c>
      <c r="D74" s="3" t="s">
        <v>41</v>
      </c>
      <c r="E74" s="66">
        <f>E25*E50/E$19</f>
        <v>14.129282938890851</v>
      </c>
      <c r="F74" s="63"/>
      <c r="G74" s="6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2:20" ht="13" x14ac:dyDescent="0.3">
      <c r="B75" s="2"/>
      <c r="C75" s="24" t="s">
        <v>20</v>
      </c>
      <c r="D75" s="3" t="s">
        <v>41</v>
      </c>
      <c r="E75" s="67">
        <f>E26*E51/E$19</f>
        <v>247.18830695929483</v>
      </c>
      <c r="F75" s="63"/>
      <c r="G75" s="233">
        <f>E75*E19/E104</f>
        <v>248.7304356603893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2:20" ht="13" x14ac:dyDescent="0.3">
      <c r="B76" s="2"/>
      <c r="C76" s="24" t="s">
        <v>21</v>
      </c>
      <c r="D76" s="3" t="s">
        <v>41</v>
      </c>
      <c r="E76" s="67">
        <f>E27*E52/E$19</f>
        <v>0</v>
      </c>
      <c r="F76" s="63"/>
      <c r="G76" s="6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2:20" ht="13" x14ac:dyDescent="0.3">
      <c r="B77" s="2"/>
      <c r="C77" s="24" t="s">
        <v>22</v>
      </c>
      <c r="D77" s="3" t="s">
        <v>41</v>
      </c>
      <c r="E77" s="67">
        <f>E28*E53/E$19</f>
        <v>0</v>
      </c>
      <c r="F77" s="63"/>
      <c r="G77" s="6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2:20" ht="8.25" customHeight="1" x14ac:dyDescent="0.3">
      <c r="B78" s="2"/>
      <c r="C78" s="24"/>
      <c r="D78" s="3"/>
      <c r="E78" s="67"/>
      <c r="F78" s="63"/>
      <c r="G78" s="6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2:20" ht="13" x14ac:dyDescent="0.3">
      <c r="B79" s="2"/>
      <c r="C79" s="24" t="s">
        <v>42</v>
      </c>
      <c r="D79" s="3" t="s">
        <v>41</v>
      </c>
      <c r="E79" s="37">
        <f>E30*E55/E$19</f>
        <v>-12.88270175983161</v>
      </c>
      <c r="F79" s="63"/>
      <c r="G79" s="65"/>
      <c r="H79" s="2"/>
      <c r="I79" s="69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2:20" thickBot="1" x14ac:dyDescent="0.35">
      <c r="B80" s="2"/>
      <c r="C80" s="24"/>
      <c r="D80" s="3"/>
      <c r="E80" s="70"/>
      <c r="F80" s="63"/>
      <c r="G80" s="3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2:20" thickTop="1" x14ac:dyDescent="0.3">
      <c r="B81" s="2"/>
      <c r="C81" s="24" t="s">
        <v>24</v>
      </c>
      <c r="D81" s="3" t="s">
        <v>41</v>
      </c>
      <c r="E81" s="64">
        <f>E57*E32/1000</f>
        <v>25.101273970052265</v>
      </c>
      <c r="F81" s="63"/>
      <c r="G81" s="234"/>
      <c r="H81" s="34"/>
      <c r="I81" s="2"/>
      <c r="J81" s="34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2:20" ht="13" x14ac:dyDescent="0.3">
      <c r="B82" s="2"/>
      <c r="C82" s="24" t="s">
        <v>26</v>
      </c>
      <c r="D82" s="3" t="s">
        <v>41</v>
      </c>
      <c r="E82" s="71">
        <f>E58*E33/1000</f>
        <v>9.66496587702418</v>
      </c>
      <c r="F82" s="63"/>
      <c r="G82" s="234"/>
      <c r="H82" s="34"/>
      <c r="I82" s="2"/>
      <c r="J82" s="34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2:20" ht="13" x14ac:dyDescent="0.3">
      <c r="B83" s="2"/>
      <c r="C83" s="24" t="s">
        <v>27</v>
      </c>
      <c r="D83" s="3" t="s">
        <v>41</v>
      </c>
      <c r="E83" s="66">
        <f>E59*E34/1000</f>
        <v>15.07409643981171</v>
      </c>
      <c r="F83" s="63"/>
      <c r="G83" s="234"/>
      <c r="H83" s="2"/>
      <c r="I83" s="2"/>
      <c r="J83" s="34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2:20" ht="13" x14ac:dyDescent="0.3">
      <c r="B84" s="2"/>
      <c r="C84" s="24" t="s">
        <v>28</v>
      </c>
      <c r="D84" s="3" t="s">
        <v>41</v>
      </c>
      <c r="E84" s="68">
        <f>E60*E35/1000</f>
        <v>0.29982753024503628</v>
      </c>
      <c r="F84" s="63"/>
      <c r="G84" s="234"/>
      <c r="H84" s="2"/>
      <c r="I84" s="2"/>
      <c r="J84" s="34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2:20" ht="14.5" thickBot="1" x14ac:dyDescent="0.35">
      <c r="B85" s="2"/>
      <c r="C85" s="55"/>
      <c r="D85" s="3"/>
      <c r="E85" s="63"/>
      <c r="F85" s="63"/>
      <c r="G85" s="3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2:20" thickTop="1" x14ac:dyDescent="0.3">
      <c r="B86" s="2"/>
      <c r="C86" s="24" t="s">
        <v>214</v>
      </c>
      <c r="D86" s="22" t="s">
        <v>44</v>
      </c>
      <c r="E86" s="58">
        <f>E62*E37</f>
        <v>49.954100000000004</v>
      </c>
      <c r="F86" s="63"/>
      <c r="G86" s="234"/>
      <c r="H86" s="34"/>
      <c r="I86" s="2"/>
      <c r="J86" s="34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2:20" ht="13" x14ac:dyDescent="0.3">
      <c r="B87" s="2"/>
      <c r="C87" s="24" t="s">
        <v>215</v>
      </c>
      <c r="D87" s="22" t="s">
        <v>44</v>
      </c>
      <c r="E87" s="37">
        <f t="shared" ref="E87:E92" si="0">E62*E38</f>
        <v>16.780077208860931</v>
      </c>
      <c r="F87" s="63"/>
      <c r="G87" s="234"/>
      <c r="H87" s="2"/>
      <c r="I87" s="2"/>
      <c r="J87" s="34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2:20" ht="13" x14ac:dyDescent="0.3">
      <c r="B88" s="2"/>
      <c r="C88" s="24" t="s">
        <v>31</v>
      </c>
      <c r="D88" s="22" t="s">
        <v>45</v>
      </c>
      <c r="E88" s="37">
        <f t="shared" si="0"/>
        <v>3.658838245150402</v>
      </c>
      <c r="F88" s="63"/>
      <c r="G88" s="234"/>
      <c r="H88" s="34"/>
      <c r="I88" s="2"/>
      <c r="J88" s="34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2:20" ht="13" x14ac:dyDescent="0.3">
      <c r="B89" s="2"/>
      <c r="C89" s="24" t="s">
        <v>33</v>
      </c>
      <c r="D89" s="22" t="s">
        <v>46</v>
      </c>
      <c r="E89" s="37">
        <f t="shared" si="0"/>
        <v>0.42073816440124656</v>
      </c>
      <c r="F89" s="63"/>
      <c r="G89" s="234"/>
      <c r="H89" s="34"/>
      <c r="I89" s="2"/>
      <c r="J89" s="34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2:20" ht="13" x14ac:dyDescent="0.3">
      <c r="B90" s="2"/>
      <c r="C90" s="24" t="s">
        <v>35</v>
      </c>
      <c r="D90" s="22" t="s">
        <v>45</v>
      </c>
      <c r="E90" s="37">
        <f t="shared" si="0"/>
        <v>5.9735018704891507</v>
      </c>
      <c r="F90" s="63"/>
      <c r="G90" s="234"/>
      <c r="H90" s="34"/>
      <c r="I90" s="2"/>
      <c r="J90" s="34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2:20" ht="13" x14ac:dyDescent="0.3">
      <c r="B91" s="2"/>
      <c r="C91" s="24" t="s">
        <v>36</v>
      </c>
      <c r="D91" s="22" t="s">
        <v>45</v>
      </c>
      <c r="E91" s="37">
        <f t="shared" si="0"/>
        <v>0.70150766281048449</v>
      </c>
      <c r="F91" s="63"/>
      <c r="G91" s="234"/>
      <c r="H91" s="34"/>
      <c r="I91" s="2"/>
      <c r="J91" s="34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2:20" ht="13" x14ac:dyDescent="0.3">
      <c r="B92" s="2"/>
      <c r="C92" s="24" t="s">
        <v>37</v>
      </c>
      <c r="D92" s="22" t="s">
        <v>45</v>
      </c>
      <c r="E92" s="61">
        <f t="shared" si="0"/>
        <v>0.58730131542053743</v>
      </c>
      <c r="F92" s="63"/>
      <c r="G92" s="234"/>
      <c r="H92" s="34"/>
      <c r="I92" s="2"/>
      <c r="J92" s="34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2:20" thickBot="1" x14ac:dyDescent="0.35">
      <c r="B93" s="2"/>
      <c r="C93" s="24"/>
      <c r="D93" s="3"/>
      <c r="E93" s="63"/>
      <c r="F93" s="63"/>
      <c r="G93" s="6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2:20" thickTop="1" x14ac:dyDescent="0.3">
      <c r="B94" s="2"/>
      <c r="C94" s="24" t="s">
        <v>38</v>
      </c>
      <c r="D94" s="3" t="s">
        <v>41</v>
      </c>
      <c r="E94" s="74">
        <f>E69*E45</f>
        <v>0</v>
      </c>
      <c r="F94" s="63"/>
      <c r="G94" s="73">
        <f>SUM(E81:E84)+SUM(E86:E92)+SUM(E94:E95)</f>
        <v>128.21622828426592</v>
      </c>
      <c r="H94" s="2">
        <f>G94*E19</f>
        <v>20389585.441703975</v>
      </c>
      <c r="I94" s="2"/>
      <c r="J94" s="34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2:20" thickBot="1" x14ac:dyDescent="0.35">
      <c r="B95" s="2"/>
      <c r="C95" s="29" t="s">
        <v>39</v>
      </c>
      <c r="D95" s="3" t="s">
        <v>41</v>
      </c>
      <c r="E95" s="72">
        <f>E70*E46</f>
        <v>0</v>
      </c>
      <c r="F95" s="63"/>
      <c r="G95" s="62"/>
      <c r="H95" s="62"/>
      <c r="I95" s="2"/>
      <c r="J95" s="62"/>
      <c r="K95" s="2"/>
      <c r="N95" s="2"/>
      <c r="O95" s="2"/>
      <c r="P95" s="2"/>
      <c r="Q95" s="2"/>
      <c r="R95" s="2"/>
      <c r="S95" s="2"/>
      <c r="T95" s="2"/>
    </row>
    <row r="96" spans="2:20" ht="13" hidden="1" x14ac:dyDescent="0.3">
      <c r="B96" s="2"/>
      <c r="C96" s="75" t="s">
        <v>48</v>
      </c>
      <c r="D96" s="76" t="s">
        <v>41</v>
      </c>
      <c r="E96" s="77">
        <f>((1/E20)-1)*$D$24*E49</f>
        <v>8.5048883786647824</v>
      </c>
      <c r="F96" s="77"/>
      <c r="G96" s="3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2:20" ht="13" hidden="1" x14ac:dyDescent="0.3">
      <c r="B97" s="2"/>
      <c r="C97" s="75" t="s">
        <v>49</v>
      </c>
      <c r="D97" s="76" t="s">
        <v>41</v>
      </c>
      <c r="E97" s="77">
        <f>((1/E20)-1)*$D$25*E50</f>
        <v>2.1292829388908512</v>
      </c>
      <c r="F97" s="77"/>
      <c r="G97" s="3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2:20" ht="13" hidden="1" x14ac:dyDescent="0.3">
      <c r="B98" s="2"/>
      <c r="C98" s="75" t="s">
        <v>50</v>
      </c>
      <c r="D98" s="76" t="s">
        <v>41</v>
      </c>
      <c r="E98" s="77">
        <f>((1/E20)-1)*$D$26*E51</f>
        <v>37.251277858765739</v>
      </c>
      <c r="F98" s="77"/>
      <c r="G98" s="3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2:20" hidden="1" thickBot="1" x14ac:dyDescent="0.35">
      <c r="B99" s="2"/>
      <c r="C99" s="78" t="s">
        <v>51</v>
      </c>
      <c r="D99" s="79" t="s">
        <v>41</v>
      </c>
      <c r="E99" s="80">
        <f>SUM(E79:E98)</f>
        <v>163.21897570075572</v>
      </c>
      <c r="F99" s="80"/>
      <c r="G99" s="3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2:20" ht="14.5" thickTop="1" x14ac:dyDescent="0.3">
      <c r="B100" s="2"/>
      <c r="C100" s="9" t="s">
        <v>52</v>
      </c>
      <c r="D100" s="3" t="s">
        <v>41</v>
      </c>
      <c r="E100" s="81">
        <f>SUM(E73:E79)+SUM(E81:E84)+SUM(E86:E92)+SUM(E94:E95)</f>
        <v>433.08700480128482</v>
      </c>
      <c r="F100" s="6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2:20" thickBot="1" x14ac:dyDescent="0.35">
      <c r="B101" s="2"/>
      <c r="C101" s="2"/>
      <c r="D101" s="22"/>
      <c r="E101" s="83"/>
      <c r="F101" s="2"/>
      <c r="G101" s="3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2:20" thickBot="1" x14ac:dyDescent="0.35">
      <c r="B102" s="2"/>
      <c r="C102" s="7" t="s">
        <v>206</v>
      </c>
      <c r="D102" s="3"/>
      <c r="E102" s="2"/>
      <c r="F102" s="2"/>
      <c r="G102" s="3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2:20" ht="14" thickTop="1" thickBot="1" x14ac:dyDescent="0.35">
      <c r="B103" s="2"/>
      <c r="C103" s="2"/>
      <c r="D103" s="3"/>
      <c r="E103" s="2"/>
      <c r="F103" s="2"/>
      <c r="G103" s="3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2:20" ht="14.5" thickTop="1" x14ac:dyDescent="0.3">
      <c r="B104" s="2"/>
      <c r="C104" s="21" t="s">
        <v>53</v>
      </c>
      <c r="D104" s="206">
        <v>1</v>
      </c>
      <c r="E104" s="207">
        <f>+E158+'EZDK Wire'!E21</f>
        <v>158039.04297543594</v>
      </c>
      <c r="F104" s="22"/>
      <c r="G104" s="3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2:20" ht="13" x14ac:dyDescent="0.3">
      <c r="B105" s="2"/>
      <c r="C105" s="24" t="s">
        <v>15</v>
      </c>
      <c r="D105" s="22" t="s">
        <v>5</v>
      </c>
      <c r="E105" s="25">
        <f>+Billet!E18%</f>
        <v>0.99379999999999991</v>
      </c>
      <c r="F105" s="26"/>
      <c r="G105" s="34">
        <f>E104*94%</f>
        <v>148556.70039690976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2:20" ht="13" x14ac:dyDescent="0.3">
      <c r="B106" s="2"/>
      <c r="C106" s="29" t="s">
        <v>54</v>
      </c>
      <c r="D106" s="22" t="s">
        <v>14</v>
      </c>
      <c r="E106" s="30">
        <f>E104/E105</f>
        <v>159024.99796280536</v>
      </c>
      <c r="F106" s="22"/>
      <c r="G106" s="3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2:20" ht="24" customHeight="1" thickBot="1" x14ac:dyDescent="0.35">
      <c r="B107" s="2"/>
      <c r="C107" s="2"/>
      <c r="D107" s="3"/>
      <c r="E107" s="2"/>
      <c r="F107" s="2"/>
      <c r="G107" s="3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2:20" ht="14.5" thickTop="1" x14ac:dyDescent="0.3">
      <c r="B108" s="2"/>
      <c r="C108" s="31" t="s">
        <v>17</v>
      </c>
      <c r="D108" s="3"/>
      <c r="E108" s="2"/>
      <c r="F108" s="2"/>
      <c r="G108" s="3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2:20" ht="13" x14ac:dyDescent="0.3">
      <c r="B109" s="2"/>
      <c r="C109" s="24" t="s">
        <v>56</v>
      </c>
      <c r="D109" s="208">
        <v>-2.6319847269065588E-3</v>
      </c>
      <c r="E109" s="39">
        <f>+D109*E106</f>
        <v>-418.55136583445034</v>
      </c>
      <c r="F109" s="34"/>
      <c r="G109" s="3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2:20" thickBot="1" x14ac:dyDescent="0.35">
      <c r="B110" s="2"/>
      <c r="C110" s="24"/>
      <c r="D110" s="3"/>
      <c r="E110" s="209"/>
      <c r="F110" s="34"/>
      <c r="G110" s="3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2:20" thickTop="1" x14ac:dyDescent="0.3">
      <c r="B111" s="2"/>
      <c r="C111" s="24" t="s">
        <v>24</v>
      </c>
      <c r="D111" s="3" t="s">
        <v>25</v>
      </c>
      <c r="E111" s="50">
        <v>3.0214385742401151E-3</v>
      </c>
      <c r="F111" s="56"/>
      <c r="G111" s="3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2:20" ht="13" x14ac:dyDescent="0.3">
      <c r="B112" s="2"/>
      <c r="C112" s="42" t="s">
        <v>26</v>
      </c>
      <c r="D112" s="22" t="s">
        <v>25</v>
      </c>
      <c r="E112" s="53">
        <v>1.8375495925978551</v>
      </c>
      <c r="F112" s="210"/>
      <c r="G112" s="34"/>
      <c r="H112" s="2"/>
      <c r="I112" s="3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2:20" thickBot="1" x14ac:dyDescent="0.35">
      <c r="B113" s="2"/>
      <c r="C113" s="24"/>
      <c r="D113" s="3"/>
      <c r="E113" s="56"/>
      <c r="F113" s="56"/>
      <c r="G113" s="3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2:20" thickTop="1" x14ac:dyDescent="0.3">
      <c r="B114" s="2"/>
      <c r="C114" s="24" t="s">
        <v>29</v>
      </c>
      <c r="D114" s="3" t="s">
        <v>30</v>
      </c>
      <c r="E114" s="50">
        <v>5.3838798137343549</v>
      </c>
      <c r="F114" s="56"/>
      <c r="G114" s="3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2:20" ht="13" x14ac:dyDescent="0.3">
      <c r="B115" s="2"/>
      <c r="C115" s="24" t="s">
        <v>31</v>
      </c>
      <c r="D115" s="3" t="s">
        <v>32</v>
      </c>
      <c r="E115" s="51">
        <v>6.7045074511265046</v>
      </c>
      <c r="F115" s="56"/>
      <c r="G115" s="3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2:20" ht="13" x14ac:dyDescent="0.3">
      <c r="B116" s="2"/>
      <c r="C116" s="24" t="s">
        <v>33</v>
      </c>
      <c r="D116" s="3" t="s">
        <v>34</v>
      </c>
      <c r="E116" s="51">
        <v>0.49838629282090652</v>
      </c>
      <c r="F116" s="56"/>
      <c r="G116" s="3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2:20" ht="13" x14ac:dyDescent="0.3">
      <c r="B117" s="2"/>
      <c r="C117" s="24" t="s">
        <v>35</v>
      </c>
      <c r="D117" s="3" t="s">
        <v>32</v>
      </c>
      <c r="E117" s="51">
        <v>3.4813015252394575</v>
      </c>
      <c r="F117" s="56"/>
      <c r="G117" s="3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2:20" ht="13" x14ac:dyDescent="0.3">
      <c r="B118" s="2"/>
      <c r="C118" s="24" t="s">
        <v>36</v>
      </c>
      <c r="D118" s="3" t="s">
        <v>32</v>
      </c>
      <c r="E118" s="51">
        <v>0</v>
      </c>
      <c r="F118" s="56"/>
      <c r="G118" s="3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2:20" ht="13" x14ac:dyDescent="0.3">
      <c r="B119" s="2"/>
      <c r="C119" s="29" t="s">
        <v>37</v>
      </c>
      <c r="D119" s="22" t="s">
        <v>32</v>
      </c>
      <c r="E119" s="53">
        <v>7.1219623535659794E-4</v>
      </c>
      <c r="F119" s="210"/>
      <c r="G119" s="3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2:20" ht="9" customHeight="1" thickBot="1" x14ac:dyDescent="0.35">
      <c r="B120" s="2"/>
      <c r="C120" s="2"/>
      <c r="D120" s="3"/>
      <c r="E120" s="34"/>
      <c r="F120" s="34"/>
      <c r="G120" s="3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2:20" ht="15" thickTop="1" thickBot="1" x14ac:dyDescent="0.35">
      <c r="B121" s="2"/>
      <c r="C121" s="31" t="s">
        <v>40</v>
      </c>
      <c r="D121" s="3"/>
      <c r="E121" s="34"/>
      <c r="F121" s="34"/>
      <c r="G121" s="3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2:20" thickTop="1" x14ac:dyDescent="0.3">
      <c r="B122" s="2"/>
      <c r="C122" s="24" t="s">
        <v>57</v>
      </c>
      <c r="D122" s="3" t="s">
        <v>41</v>
      </c>
      <c r="E122" s="23">
        <f>+E100</f>
        <v>433.08700480128482</v>
      </c>
      <c r="F122" s="34"/>
      <c r="G122" s="3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2:20" ht="8.25" customHeight="1" x14ac:dyDescent="0.3">
      <c r="B123" s="2"/>
      <c r="C123" s="24"/>
      <c r="D123" s="3"/>
      <c r="E123" s="19"/>
      <c r="F123" s="34"/>
      <c r="G123" s="3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2:20" ht="13" x14ac:dyDescent="0.3">
      <c r="B124" s="2"/>
      <c r="C124" s="24" t="s">
        <v>56</v>
      </c>
      <c r="D124" s="3" t="s">
        <v>41</v>
      </c>
      <c r="E124" s="39">
        <v>350.28906472110947</v>
      </c>
      <c r="F124" s="40"/>
      <c r="G124" s="3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2:20" ht="10.5" customHeight="1" thickBot="1" x14ac:dyDescent="0.35">
      <c r="B125" s="2"/>
      <c r="C125" s="24"/>
      <c r="D125" s="3"/>
      <c r="E125" s="211"/>
      <c r="F125" s="40"/>
      <c r="G125" s="3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2:20" thickTop="1" x14ac:dyDescent="0.3">
      <c r="B126" s="2"/>
      <c r="C126" s="24" t="s">
        <v>24</v>
      </c>
      <c r="D126" s="3" t="s">
        <v>43</v>
      </c>
      <c r="E126" s="84">
        <v>559.92857142856997</v>
      </c>
      <c r="F126" s="85"/>
      <c r="G126" s="3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2:20" ht="13" x14ac:dyDescent="0.3">
      <c r="B127" s="2"/>
      <c r="C127" s="42" t="s">
        <v>26</v>
      </c>
      <c r="D127" s="3" t="s">
        <v>43</v>
      </c>
      <c r="E127" s="86">
        <v>678.11135683796431</v>
      </c>
      <c r="F127" s="85"/>
      <c r="G127" s="3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2:20" ht="9" customHeight="1" thickBot="1" x14ac:dyDescent="0.35">
      <c r="B128" s="2"/>
      <c r="C128" s="55"/>
      <c r="D128" s="3"/>
      <c r="E128" s="85"/>
      <c r="F128" s="85"/>
      <c r="G128" s="3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2:20" thickTop="1" x14ac:dyDescent="0.3">
      <c r="B129" s="2"/>
      <c r="C129" s="24" t="s">
        <v>29</v>
      </c>
      <c r="D129" s="22" t="s">
        <v>44</v>
      </c>
      <c r="E129" s="57">
        <f>+E62</f>
        <v>7.0000000000000007E-2</v>
      </c>
      <c r="F129" s="212"/>
      <c r="G129" s="3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2:20" ht="13" x14ac:dyDescent="0.3">
      <c r="B130" s="2"/>
      <c r="C130" s="24" t="s">
        <v>31</v>
      </c>
      <c r="D130" s="22" t="s">
        <v>45</v>
      </c>
      <c r="E130" s="59">
        <v>0.25072464212651396</v>
      </c>
      <c r="F130" s="212"/>
      <c r="G130" s="3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2:20" ht="13" x14ac:dyDescent="0.3">
      <c r="B131" s="2"/>
      <c r="C131" s="24" t="s">
        <v>33</v>
      </c>
      <c r="D131" s="22" t="s">
        <v>46</v>
      </c>
      <c r="E131" s="213">
        <v>0.27163955106549381</v>
      </c>
      <c r="F131" s="85"/>
      <c r="G131" s="3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2:20" ht="13" x14ac:dyDescent="0.3">
      <c r="B132" s="2"/>
      <c r="C132" s="24" t="s">
        <v>35</v>
      </c>
      <c r="D132" s="22" t="s">
        <v>45</v>
      </c>
      <c r="E132" s="213">
        <v>0.17166474630834158</v>
      </c>
      <c r="F132" s="85"/>
      <c r="G132" s="3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2:20" ht="13" x14ac:dyDescent="0.3">
      <c r="B133" s="2"/>
      <c r="C133" s="24" t="s">
        <v>36</v>
      </c>
      <c r="D133" s="22" t="s">
        <v>45</v>
      </c>
      <c r="E133" s="213">
        <v>0</v>
      </c>
      <c r="F133" s="85"/>
      <c r="G133" s="3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2:20" ht="13" x14ac:dyDescent="0.3">
      <c r="B134" s="2"/>
      <c r="C134" s="24" t="s">
        <v>37</v>
      </c>
      <c r="D134" s="3" t="s">
        <v>45</v>
      </c>
      <c r="E134" s="86">
        <v>1.9283673168637039</v>
      </c>
      <c r="F134" s="85"/>
      <c r="G134" s="3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2:20" ht="15" customHeight="1" thickBot="1" x14ac:dyDescent="0.35">
      <c r="B135" s="2"/>
      <c r="C135" s="2"/>
      <c r="D135" s="3"/>
      <c r="E135" s="34"/>
      <c r="F135" s="34"/>
      <c r="G135" s="3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2:20" ht="15" thickTop="1" thickBot="1" x14ac:dyDescent="0.35">
      <c r="B136" s="2"/>
      <c r="C136" s="31" t="s">
        <v>47</v>
      </c>
      <c r="D136" s="3"/>
      <c r="E136" s="34"/>
      <c r="F136" s="34"/>
      <c r="G136" s="3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2:20" thickTop="1" x14ac:dyDescent="0.3">
      <c r="B137" s="2"/>
      <c r="C137" s="24" t="s">
        <v>57</v>
      </c>
      <c r="D137" s="3" t="s">
        <v>41</v>
      </c>
      <c r="E137" s="214">
        <f>E122*E106/E104</f>
        <v>435.78889595621342</v>
      </c>
      <c r="F137" s="34"/>
      <c r="G137" s="3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2:20" ht="8.25" customHeight="1" x14ac:dyDescent="0.3">
      <c r="B138" s="2"/>
      <c r="C138" s="24"/>
      <c r="D138" s="3"/>
      <c r="E138" s="19"/>
      <c r="F138" s="34"/>
      <c r="G138" s="3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2:20" ht="13" x14ac:dyDescent="0.3">
      <c r="B139" s="2"/>
      <c r="C139" s="24" t="s">
        <v>56</v>
      </c>
      <c r="D139" s="3" t="s">
        <v>41</v>
      </c>
      <c r="E139" s="216">
        <f>E109*E124/E$104</f>
        <v>-0.92770725331892079</v>
      </c>
      <c r="F139" s="215"/>
      <c r="G139" s="3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2:20" thickBot="1" x14ac:dyDescent="0.35">
      <c r="B140" s="2"/>
      <c r="C140" s="24"/>
      <c r="D140" s="3"/>
      <c r="E140" s="209"/>
      <c r="F140" s="34"/>
      <c r="G140" s="3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2:20" thickTop="1" x14ac:dyDescent="0.3">
      <c r="B141" s="2"/>
      <c r="C141" s="24" t="s">
        <v>24</v>
      </c>
      <c r="D141" s="3" t="s">
        <v>41</v>
      </c>
      <c r="E141" s="220">
        <f>E126*E111/1000</f>
        <v>1.691789784533443E-3</v>
      </c>
      <c r="F141" s="34"/>
      <c r="G141" s="3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2:20" ht="13" x14ac:dyDescent="0.3">
      <c r="B142" s="2"/>
      <c r="C142" s="24" t="s">
        <v>26</v>
      </c>
      <c r="D142" s="3" t="s">
        <v>41</v>
      </c>
      <c r="E142" s="217">
        <f>E127*E112/1000</f>
        <v>1.24606324749358</v>
      </c>
      <c r="F142" s="34"/>
      <c r="G142" s="3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2:20" ht="14.5" thickBot="1" x14ac:dyDescent="0.35">
      <c r="B143" s="2"/>
      <c r="C143" s="55"/>
      <c r="D143" s="3"/>
      <c r="E143" s="34"/>
      <c r="F143" s="34"/>
      <c r="G143" s="3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2:20" thickTop="1" x14ac:dyDescent="0.3">
      <c r="B144" s="2"/>
      <c r="C144" s="24" t="s">
        <v>29</v>
      </c>
      <c r="D144" s="22" t="s">
        <v>44</v>
      </c>
      <c r="E144" s="58">
        <f t="shared" ref="E144:E149" si="1">E129*E114</f>
        <v>0.37687158696140488</v>
      </c>
      <c r="F144" s="34"/>
      <c r="G144" s="3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2:20" ht="13" x14ac:dyDescent="0.3">
      <c r="B145" s="2"/>
      <c r="C145" s="24" t="s">
        <v>31</v>
      </c>
      <c r="D145" s="22" t="s">
        <v>45</v>
      </c>
      <c r="E145" s="37">
        <f t="shared" si="1"/>
        <v>1.6809852313182392</v>
      </c>
      <c r="F145" s="34"/>
      <c r="G145" s="3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2:20" ht="13" x14ac:dyDescent="0.3">
      <c r="B146" s="2"/>
      <c r="C146" s="24" t="s">
        <v>33</v>
      </c>
      <c r="D146" s="22" t="s">
        <v>46</v>
      </c>
      <c r="E146" s="37">
        <f t="shared" si="1"/>
        <v>0.13538142883906679</v>
      </c>
      <c r="F146" s="34"/>
      <c r="G146" s="3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2:20" ht="13" x14ac:dyDescent="0.3">
      <c r="B147" s="2"/>
      <c r="C147" s="24" t="s">
        <v>35</v>
      </c>
      <c r="D147" s="22" t="s">
        <v>45</v>
      </c>
      <c r="E147" s="37">
        <f t="shared" si="1"/>
        <v>0.59761674315307411</v>
      </c>
      <c r="F147" s="34"/>
      <c r="G147" s="3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2:20" ht="13" x14ac:dyDescent="0.3">
      <c r="B148" s="2"/>
      <c r="C148" s="24" t="s">
        <v>36</v>
      </c>
      <c r="D148" s="22" t="s">
        <v>45</v>
      </c>
      <c r="E148" s="37">
        <f t="shared" si="1"/>
        <v>0</v>
      </c>
      <c r="F148" s="34"/>
      <c r="G148" s="3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2:20" thickBot="1" x14ac:dyDescent="0.35">
      <c r="B149" s="2"/>
      <c r="C149" s="24" t="s">
        <v>37</v>
      </c>
      <c r="D149" s="22" t="s">
        <v>45</v>
      </c>
      <c r="E149" s="61">
        <f t="shared" si="1"/>
        <v>1.3733759434550337E-3</v>
      </c>
      <c r="F149" s="34"/>
      <c r="G149" s="236">
        <f>H94/E104</f>
        <v>129.01612827959946</v>
      </c>
      <c r="H149" s="62">
        <f>G149+SUM(E141:E149)</f>
        <v>133.05611168309281</v>
      </c>
      <c r="I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2:20" ht="13" hidden="1" x14ac:dyDescent="0.3">
      <c r="B150" s="2"/>
      <c r="C150" s="75" t="s">
        <v>58</v>
      </c>
      <c r="D150" s="76" t="s">
        <v>41</v>
      </c>
      <c r="E150" s="218">
        <f>((1/E105)-1)*E122</f>
        <v>2.7018911549285538</v>
      </c>
      <c r="F150" s="218"/>
      <c r="G150" s="3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2:20" hidden="1" thickBot="1" x14ac:dyDescent="0.35">
      <c r="B151" s="2"/>
      <c r="C151" s="78" t="s">
        <v>59</v>
      </c>
      <c r="D151" s="79" t="s">
        <v>41</v>
      </c>
      <c r="E151" s="219">
        <f>SUM(E139:E150)</f>
        <v>5.8141673051029858</v>
      </c>
      <c r="F151" s="219"/>
      <c r="G151" s="3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2:20" ht="14.5" thickTop="1" x14ac:dyDescent="0.3">
      <c r="B152" s="2"/>
      <c r="C152" s="9" t="s">
        <v>207</v>
      </c>
      <c r="D152" s="3" t="s">
        <v>41</v>
      </c>
      <c r="E152" s="82">
        <f>SUM(E137:E139)+SUM(E141:E142)+SUM(E144:E149)</f>
        <v>438.90117210638783</v>
      </c>
      <c r="F152" s="62"/>
      <c r="G152" s="3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2:20" thickBot="1" x14ac:dyDescent="0.35">
      <c r="B153" s="2"/>
      <c r="C153" s="2"/>
      <c r="D153" s="22"/>
      <c r="E153" s="83"/>
      <c r="F153" s="2"/>
      <c r="G153" s="3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2:20" thickBot="1" x14ac:dyDescent="0.35">
      <c r="B154" s="2"/>
      <c r="C154" s="7" t="s">
        <v>60</v>
      </c>
      <c r="D154" s="3"/>
      <c r="E154" s="2"/>
      <c r="F154" s="2"/>
      <c r="G154" s="3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2:20" ht="14" thickTop="1" thickBot="1" x14ac:dyDescent="0.35">
      <c r="B155" s="2"/>
      <c r="C155" s="2"/>
      <c r="D155" s="3"/>
      <c r="E155" s="2"/>
      <c r="F155" s="2"/>
      <c r="G155" s="3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2:20" ht="14.5" thickTop="1" x14ac:dyDescent="0.3">
      <c r="B156" s="2"/>
      <c r="C156" s="21" t="s">
        <v>61</v>
      </c>
      <c r="D156" s="22" t="s">
        <v>14</v>
      </c>
      <c r="E156" s="23">
        <f>E10</f>
        <v>100000</v>
      </c>
      <c r="F156" s="13"/>
      <c r="G156" s="3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2:20" ht="13" x14ac:dyDescent="0.3">
      <c r="B157" s="2"/>
      <c r="C157" s="24" t="s">
        <v>15</v>
      </c>
      <c r="D157" s="22" t="s">
        <v>5</v>
      </c>
      <c r="E157" s="25">
        <f>+Rebar!E6%</f>
        <v>0.93620000000000003</v>
      </c>
      <c r="F157" s="26"/>
      <c r="G157" s="3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2:20" ht="13" x14ac:dyDescent="0.3">
      <c r="B158" s="2"/>
      <c r="C158" s="24" t="s">
        <v>53</v>
      </c>
      <c r="D158" s="16">
        <v>1</v>
      </c>
      <c r="E158" s="43">
        <f>E156/E157*D158</f>
        <v>106814.78316599017</v>
      </c>
      <c r="F158" s="83"/>
      <c r="G158" s="34"/>
      <c r="H158" s="1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2:20" ht="13" x14ac:dyDescent="0.3">
      <c r="B159" s="2"/>
      <c r="C159" s="24" t="s">
        <v>136</v>
      </c>
      <c r="D159" s="16">
        <v>0</v>
      </c>
      <c r="E159" s="43">
        <f>E156/E157*D159</f>
        <v>0</v>
      </c>
      <c r="F159" s="83"/>
      <c r="G159" s="34"/>
      <c r="H159" s="1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2:20" ht="13" x14ac:dyDescent="0.3">
      <c r="B160" s="2"/>
      <c r="C160" s="29" t="s">
        <v>62</v>
      </c>
      <c r="D160" s="16">
        <v>0</v>
      </c>
      <c r="E160" s="43">
        <f>E156/E157*D160</f>
        <v>0</v>
      </c>
      <c r="F160" s="22"/>
      <c r="G160" s="34"/>
      <c r="H160" s="1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2:20" ht="13.5" customHeight="1" thickBot="1" x14ac:dyDescent="0.35">
      <c r="B161" s="2"/>
      <c r="C161" s="2"/>
      <c r="D161" s="3"/>
      <c r="E161" s="34"/>
      <c r="F161" s="2"/>
      <c r="G161" s="3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2:20" ht="15" thickTop="1" thickBot="1" x14ac:dyDescent="0.35">
      <c r="B162" s="2"/>
      <c r="C162" s="31" t="s">
        <v>17</v>
      </c>
      <c r="D162" s="3"/>
      <c r="E162" s="2"/>
      <c r="F162" s="2"/>
      <c r="G162" s="3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2:20" ht="15" customHeight="1" thickTop="1" x14ac:dyDescent="0.3">
      <c r="B163" s="2"/>
      <c r="C163" s="24" t="s">
        <v>55</v>
      </c>
      <c r="D163" s="87">
        <v>-4.2967182485459401E-2</v>
      </c>
      <c r="E163" s="33">
        <f>D163*E158</f>
        <v>-4589.5302804378762</v>
      </c>
      <c r="F163" s="2"/>
      <c r="G163" s="3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2:20" thickBot="1" x14ac:dyDescent="0.35">
      <c r="B164" s="2"/>
      <c r="C164" s="24"/>
      <c r="D164" s="3"/>
      <c r="F164" s="2"/>
      <c r="G164" s="3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2:20" thickTop="1" x14ac:dyDescent="0.3">
      <c r="B165" s="2"/>
      <c r="C165" s="24" t="s">
        <v>26</v>
      </c>
      <c r="D165" s="22" t="s">
        <v>25</v>
      </c>
      <c r="E165" s="88">
        <v>0.71842457772211932</v>
      </c>
      <c r="F165" s="26"/>
      <c r="G165" s="3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2:20" thickBot="1" x14ac:dyDescent="0.35">
      <c r="B166" s="2"/>
      <c r="C166" s="24"/>
      <c r="D166" s="3"/>
      <c r="E166" s="46"/>
      <c r="F166" s="15"/>
      <c r="G166" s="3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2:20" thickTop="1" x14ac:dyDescent="0.3">
      <c r="B167" s="2"/>
      <c r="C167" s="24" t="s">
        <v>29</v>
      </c>
      <c r="D167" s="3" t="s">
        <v>30</v>
      </c>
      <c r="E167" s="47">
        <v>99.812222498274608</v>
      </c>
      <c r="F167" s="15"/>
      <c r="G167" s="3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2:20" ht="13" x14ac:dyDescent="0.3">
      <c r="B168" s="2"/>
      <c r="C168" s="24" t="s">
        <v>31</v>
      </c>
      <c r="D168" s="3" t="s">
        <v>32</v>
      </c>
      <c r="E168" s="43">
        <v>31.718429055837788</v>
      </c>
      <c r="F168" s="15"/>
      <c r="G168" s="3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2:20" ht="13" x14ac:dyDescent="0.3">
      <c r="B169" s="2"/>
      <c r="C169" s="24" t="s">
        <v>33</v>
      </c>
      <c r="D169" s="3" t="s">
        <v>34</v>
      </c>
      <c r="E169" s="45">
        <v>0.45277120002152066</v>
      </c>
      <c r="F169" s="15"/>
      <c r="G169" s="3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2:20" thickBot="1" x14ac:dyDescent="0.35">
      <c r="B170" s="2"/>
      <c r="C170" s="24"/>
      <c r="D170" s="3"/>
      <c r="E170" s="89"/>
      <c r="F170" s="15"/>
      <c r="G170" s="3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2:20" thickTop="1" x14ac:dyDescent="0.3">
      <c r="B171" s="2"/>
      <c r="C171" s="29" t="s">
        <v>64</v>
      </c>
      <c r="D171" s="3" t="s">
        <v>63</v>
      </c>
      <c r="E171" s="91">
        <v>1</v>
      </c>
      <c r="F171" s="15"/>
      <c r="G171" s="3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2:20" ht="24" customHeight="1" thickBot="1" x14ac:dyDescent="0.35">
      <c r="B172" s="2"/>
      <c r="C172" s="2"/>
      <c r="D172" s="3"/>
      <c r="E172" s="2"/>
      <c r="F172" s="2"/>
      <c r="G172" s="3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2:20" ht="15" thickTop="1" thickBot="1" x14ac:dyDescent="0.35">
      <c r="B173" s="2"/>
      <c r="C173" s="31" t="s">
        <v>40</v>
      </c>
      <c r="D173" s="3"/>
      <c r="E173" s="2"/>
      <c r="F173" s="2"/>
      <c r="G173" s="3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2:20" thickTop="1" x14ac:dyDescent="0.3">
      <c r="B174" s="2"/>
      <c r="C174" s="24" t="s">
        <v>65</v>
      </c>
      <c r="D174" s="3" t="s">
        <v>41</v>
      </c>
      <c r="E174" s="23">
        <f>+E152</f>
        <v>438.90117210638783</v>
      </c>
      <c r="F174" s="2"/>
      <c r="G174" s="3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2:20" ht="13" x14ac:dyDescent="0.3">
      <c r="B175" s="2"/>
      <c r="C175" s="24" t="s">
        <v>192</v>
      </c>
      <c r="D175" s="3" t="s">
        <v>41</v>
      </c>
      <c r="E175" s="19">
        <v>0</v>
      </c>
      <c r="F175" s="2"/>
      <c r="G175" s="3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2:20" ht="13" x14ac:dyDescent="0.3">
      <c r="B176" s="2"/>
      <c r="C176" s="24" t="s">
        <v>66</v>
      </c>
      <c r="D176" s="3" t="s">
        <v>41</v>
      </c>
      <c r="E176" s="35">
        <v>0</v>
      </c>
      <c r="F176" s="2"/>
      <c r="G176" s="3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2:20" ht="8.25" customHeight="1" x14ac:dyDescent="0.3">
      <c r="B177" s="2"/>
      <c r="C177" s="24"/>
      <c r="D177" s="3"/>
      <c r="E177" s="52"/>
      <c r="F177" s="2"/>
      <c r="G177" s="3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2:20" ht="14.25" customHeight="1" x14ac:dyDescent="0.3">
      <c r="B178" s="2"/>
      <c r="C178" s="24" t="s">
        <v>55</v>
      </c>
      <c r="D178" s="3" t="s">
        <v>41</v>
      </c>
      <c r="E178" s="90">
        <v>346.00490746702133</v>
      </c>
      <c r="F178" s="15"/>
      <c r="G178" s="3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2:20" ht="10.5" customHeight="1" thickBot="1" x14ac:dyDescent="0.35">
      <c r="B179" s="2"/>
      <c r="C179" s="24"/>
      <c r="D179" s="3"/>
      <c r="E179" s="92"/>
      <c r="F179" s="15"/>
      <c r="G179" s="3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2:20" thickTop="1" x14ac:dyDescent="0.3">
      <c r="B180" s="2"/>
      <c r="C180" s="24" t="s">
        <v>26</v>
      </c>
      <c r="D180" s="3" t="s">
        <v>43</v>
      </c>
      <c r="E180" s="94">
        <v>1192.1342716711349</v>
      </c>
      <c r="F180" s="15"/>
      <c r="G180" s="3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2:20" ht="9" customHeight="1" thickBot="1" x14ac:dyDescent="0.35">
      <c r="B181" s="2"/>
      <c r="C181" s="55"/>
      <c r="D181" s="3"/>
      <c r="E181" s="15"/>
      <c r="F181" s="15"/>
      <c r="G181" s="3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2:20" thickTop="1" x14ac:dyDescent="0.3">
      <c r="B182" s="2"/>
      <c r="C182" s="24" t="s">
        <v>29</v>
      </c>
      <c r="D182" s="22" t="s">
        <v>44</v>
      </c>
      <c r="E182" s="57">
        <f>+E129</f>
        <v>7.0000000000000007E-2</v>
      </c>
      <c r="F182" s="15"/>
      <c r="G182" s="3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2:20" ht="13" x14ac:dyDescent="0.3">
      <c r="B183" s="2"/>
      <c r="C183" s="24" t="s">
        <v>31</v>
      </c>
      <c r="D183" s="22" t="s">
        <v>45</v>
      </c>
      <c r="E183" s="51">
        <f>+E130</f>
        <v>0.25072464212651396</v>
      </c>
      <c r="F183" s="15"/>
      <c r="G183" s="3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2:20" ht="13" x14ac:dyDescent="0.3">
      <c r="B184" s="2"/>
      <c r="C184" s="24" t="s">
        <v>33</v>
      </c>
      <c r="D184" s="22" t="s">
        <v>46</v>
      </c>
      <c r="E184" s="53">
        <f>+E131</f>
        <v>0.27163955106549381</v>
      </c>
      <c r="F184" s="15"/>
      <c r="G184" s="3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2:20" thickBot="1" x14ac:dyDescent="0.35">
      <c r="B185" s="2"/>
      <c r="C185" s="24"/>
      <c r="D185" s="3"/>
      <c r="E185" s="89"/>
      <c r="F185" s="15"/>
      <c r="G185" s="3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2:20" thickTop="1" x14ac:dyDescent="0.3">
      <c r="B186" s="2"/>
      <c r="C186" s="29" t="s">
        <v>67</v>
      </c>
      <c r="D186" s="3" t="s">
        <v>41</v>
      </c>
      <c r="E186" s="45">
        <v>0.23422318331098854</v>
      </c>
      <c r="F186" s="15"/>
      <c r="G186" s="3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2:20" ht="13.5" customHeight="1" thickBot="1" x14ac:dyDescent="0.35">
      <c r="B187" s="2"/>
      <c r="C187" s="2"/>
      <c r="D187" s="3"/>
      <c r="E187" s="2"/>
      <c r="F187" s="2"/>
      <c r="G187" s="3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2:20" ht="15" thickTop="1" thickBot="1" x14ac:dyDescent="0.35">
      <c r="B188" s="2"/>
      <c r="C188" s="31" t="s">
        <v>47</v>
      </c>
      <c r="D188" s="3"/>
      <c r="E188" s="2"/>
      <c r="F188" s="2"/>
      <c r="G188" s="3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2:20" thickTop="1" x14ac:dyDescent="0.3">
      <c r="B189" s="2"/>
      <c r="C189" s="24" t="s">
        <v>53</v>
      </c>
      <c r="D189" s="3" t="s">
        <v>41</v>
      </c>
      <c r="E189" s="95">
        <f>E174*E158/E156</f>
        <v>468.81133529842748</v>
      </c>
      <c r="F189" s="2"/>
      <c r="G189" s="3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2:20" ht="13" x14ac:dyDescent="0.3">
      <c r="B190" s="2"/>
      <c r="C190" s="24" t="s">
        <v>192</v>
      </c>
      <c r="D190" s="3" t="s">
        <v>41</v>
      </c>
      <c r="E190" s="96">
        <f>E175*E159/E156</f>
        <v>0</v>
      </c>
      <c r="F190" s="2"/>
      <c r="G190" s="3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2:20" ht="13" x14ac:dyDescent="0.3">
      <c r="B191" s="2"/>
      <c r="C191" s="24" t="s">
        <v>62</v>
      </c>
      <c r="D191" s="3" t="s">
        <v>41</v>
      </c>
      <c r="E191" s="96">
        <f>E160*E176/E156</f>
        <v>0</v>
      </c>
      <c r="F191" s="2"/>
      <c r="G191" s="3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2:20" ht="8.25" customHeight="1" x14ac:dyDescent="0.3">
      <c r="B192" s="2"/>
      <c r="C192" s="24"/>
      <c r="D192" s="3"/>
      <c r="E192" s="96"/>
      <c r="F192" s="2"/>
      <c r="G192" s="3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2:20" ht="12.75" customHeight="1" x14ac:dyDescent="0.3">
      <c r="B193" s="2"/>
      <c r="C193" s="24" t="s">
        <v>55</v>
      </c>
      <c r="D193" s="3" t="s">
        <v>41</v>
      </c>
      <c r="E193" s="96">
        <f>E163*E178/E$156</f>
        <v>-15.879999999999997</v>
      </c>
      <c r="F193" s="2"/>
      <c r="G193" s="3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2:20" thickBot="1" x14ac:dyDescent="0.35">
      <c r="B194" s="2"/>
      <c r="C194" s="24"/>
      <c r="D194" s="3"/>
      <c r="E194" s="54"/>
      <c r="F194" s="2"/>
      <c r="G194" s="3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2:20" thickTop="1" x14ac:dyDescent="0.3">
      <c r="B195" s="2"/>
      <c r="C195" s="24" t="s">
        <v>26</v>
      </c>
      <c r="D195" s="3" t="s">
        <v>41</v>
      </c>
      <c r="E195" s="98">
        <f>E180*E165/1000</f>
        <v>0.85645856071340132</v>
      </c>
      <c r="F195" s="2"/>
      <c r="G195" s="3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2:20" ht="14.5" thickBot="1" x14ac:dyDescent="0.35">
      <c r="B196" s="2"/>
      <c r="C196" s="55"/>
      <c r="D196" s="3"/>
      <c r="E196" s="62"/>
      <c r="F196" s="2"/>
      <c r="G196" s="3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2:20" thickTop="1" x14ac:dyDescent="0.3">
      <c r="B197" s="2"/>
      <c r="C197" s="24" t="s">
        <v>29</v>
      </c>
      <c r="D197" s="22" t="s">
        <v>44</v>
      </c>
      <c r="E197" s="95">
        <f>E182*E167</f>
        <v>6.9868555748792236</v>
      </c>
      <c r="F197" s="2"/>
      <c r="G197" s="3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2:20" ht="13" x14ac:dyDescent="0.3">
      <c r="B198" s="2"/>
      <c r="C198" s="24" t="s">
        <v>31</v>
      </c>
      <c r="D198" s="22" t="s">
        <v>45</v>
      </c>
      <c r="E198" s="96">
        <f>E183*E168</f>
        <v>7.9525917738401519</v>
      </c>
      <c r="F198" s="2"/>
      <c r="G198" s="3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2:20" ht="13" x14ac:dyDescent="0.3">
      <c r="B199" s="2"/>
      <c r="C199" s="24" t="s">
        <v>33</v>
      </c>
      <c r="D199" s="22" t="s">
        <v>46</v>
      </c>
      <c r="E199" s="97">
        <f>E184*E169</f>
        <v>0.12299056550923078</v>
      </c>
      <c r="F199" s="2"/>
      <c r="G199" s="3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2:20" thickBot="1" x14ac:dyDescent="0.35">
      <c r="B200" s="2"/>
      <c r="C200" s="24"/>
      <c r="D200" s="3"/>
      <c r="E200" s="99"/>
      <c r="F200" s="2"/>
      <c r="G200" s="3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2:20" ht="14" thickTop="1" thickBot="1" x14ac:dyDescent="0.35">
      <c r="B201" s="2"/>
      <c r="C201" s="29" t="s">
        <v>67</v>
      </c>
      <c r="D201" s="3" t="s">
        <v>41</v>
      </c>
      <c r="E201" s="249">
        <f>E186*E171</f>
        <v>0.23422318331098854</v>
      </c>
      <c r="F201" s="2"/>
      <c r="G201" s="3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2:20" ht="13" hidden="1" x14ac:dyDescent="0.3">
      <c r="B202" s="2"/>
      <c r="C202" s="100" t="s">
        <v>68</v>
      </c>
      <c r="D202" s="76" t="s">
        <v>41</v>
      </c>
      <c r="E202" s="101">
        <f>((1/E157)-1)*$D$158*E174</f>
        <v>29.9101631920397</v>
      </c>
      <c r="F202" s="101"/>
      <c r="G202" s="3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2:20" ht="13" hidden="1" x14ac:dyDescent="0.3">
      <c r="B203" s="2"/>
      <c r="C203" s="100" t="s">
        <v>69</v>
      </c>
      <c r="D203" s="76" t="s">
        <v>41</v>
      </c>
      <c r="E203" s="101">
        <f>((1/E157)-1)*$D$160*E176</f>
        <v>0</v>
      </c>
      <c r="F203" s="101"/>
      <c r="G203" s="3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2:20" hidden="1" thickBot="1" x14ac:dyDescent="0.35">
      <c r="B204" s="2"/>
      <c r="C204" s="78" t="s">
        <v>70</v>
      </c>
      <c r="D204" s="79" t="s">
        <v>41</v>
      </c>
      <c r="E204" s="102">
        <f>SUM(E193:E203)</f>
        <v>30.183282850292699</v>
      </c>
      <c r="F204" s="102"/>
      <c r="G204" s="3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2:20" ht="14.5" thickTop="1" x14ac:dyDescent="0.3">
      <c r="B205" s="2"/>
      <c r="C205" s="21" t="s">
        <v>71</v>
      </c>
      <c r="D205" s="22" t="s">
        <v>41</v>
      </c>
      <c r="E205" s="64">
        <f>SUM(E189:E193)+SUM(E195:E195)+SUM(E197:E199)+SUM(E201:E201)</f>
        <v>469.08445495668047</v>
      </c>
      <c r="F205" s="103"/>
      <c r="G205" s="34"/>
      <c r="H205" s="7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2:20" ht="13" x14ac:dyDescent="0.3">
      <c r="B206" s="2"/>
      <c r="C206" s="29" t="s">
        <v>72</v>
      </c>
      <c r="D206" s="22" t="s">
        <v>73</v>
      </c>
      <c r="E206" s="30">
        <f>E205*E156</f>
        <v>46908445.495668046</v>
      </c>
      <c r="F206" s="22"/>
      <c r="G206" s="3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2:20" thickBot="1" x14ac:dyDescent="0.35">
      <c r="B207" s="2"/>
      <c r="C207" s="2"/>
      <c r="D207" s="22"/>
      <c r="E207" s="2"/>
      <c r="F207" s="2"/>
      <c r="G207" s="3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2:20" thickTop="1" x14ac:dyDescent="0.3">
      <c r="B208" s="2"/>
      <c r="C208" s="104" t="s">
        <v>74</v>
      </c>
      <c r="D208" s="22" t="s">
        <v>73</v>
      </c>
      <c r="E208" s="41">
        <f>'Fixed Cost'!D46*1000000*F208</f>
        <v>1241250</v>
      </c>
      <c r="F208" s="394">
        <v>0.5</v>
      </c>
      <c r="G208" s="3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2:20" ht="13" x14ac:dyDescent="0.3">
      <c r="B209" s="2"/>
      <c r="C209" s="24" t="s">
        <v>75</v>
      </c>
      <c r="D209" s="22" t="s">
        <v>73</v>
      </c>
      <c r="E209" s="44">
        <f>'Fixed Cost'!D49*1000000</f>
        <v>597500</v>
      </c>
      <c r="F209" s="26"/>
      <c r="G209" s="3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2:20" ht="13" x14ac:dyDescent="0.3">
      <c r="B210" s="2"/>
      <c r="C210" s="24" t="s">
        <v>208</v>
      </c>
      <c r="D210" s="22" t="s">
        <v>73</v>
      </c>
      <c r="E210" s="44">
        <f>11*E10*E12</f>
        <v>0</v>
      </c>
      <c r="F210" s="26"/>
      <c r="G210" s="3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2:20" ht="13" x14ac:dyDescent="0.3">
      <c r="B211" s="2"/>
      <c r="C211" s="24" t="s">
        <v>76</v>
      </c>
      <c r="D211" s="22" t="s">
        <v>73</v>
      </c>
      <c r="E211" s="44">
        <f>E208</f>
        <v>1241250</v>
      </c>
      <c r="F211" s="394">
        <v>0.5</v>
      </c>
      <c r="G211" s="3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2:20" ht="13" x14ac:dyDescent="0.3">
      <c r="B212" s="2"/>
      <c r="C212" s="24" t="s">
        <v>77</v>
      </c>
      <c r="D212" s="22" t="s">
        <v>41</v>
      </c>
      <c r="E212" s="52">
        <f>E208/E156</f>
        <v>12.4125</v>
      </c>
      <c r="F212" s="22"/>
      <c r="G212" s="3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2:20" ht="13" x14ac:dyDescent="0.3">
      <c r="B213" s="2"/>
      <c r="C213" s="24" t="s">
        <v>78</v>
      </c>
      <c r="D213" s="22" t="s">
        <v>41</v>
      </c>
      <c r="E213" s="52">
        <f>E209/E156</f>
        <v>5.9749999999999996</v>
      </c>
      <c r="F213" s="22"/>
      <c r="G213" s="3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2:20" ht="13" x14ac:dyDescent="0.3">
      <c r="B214" s="2"/>
      <c r="C214" s="24" t="s">
        <v>208</v>
      </c>
      <c r="D214" s="22" t="s">
        <v>73</v>
      </c>
      <c r="E214" s="52">
        <f>E210/E156</f>
        <v>0</v>
      </c>
      <c r="F214" s="22"/>
      <c r="G214" s="3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2:20" ht="13" x14ac:dyDescent="0.3">
      <c r="B215" s="2"/>
      <c r="C215" s="29" t="s">
        <v>79</v>
      </c>
      <c r="D215" s="22" t="s">
        <v>41</v>
      </c>
      <c r="E215" s="30">
        <f>E211/E156</f>
        <v>12.4125</v>
      </c>
      <c r="F215" s="22"/>
      <c r="G215" s="3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2:20" thickBot="1" x14ac:dyDescent="0.35">
      <c r="B216" s="2"/>
      <c r="C216" s="2"/>
      <c r="D216" s="22"/>
      <c r="E216" s="83"/>
      <c r="F216" s="22"/>
      <c r="G216" s="3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2:20" ht="14.5" thickTop="1" x14ac:dyDescent="0.3">
      <c r="B217" s="2"/>
      <c r="C217" s="21" t="s">
        <v>80</v>
      </c>
      <c r="D217" s="22" t="s">
        <v>41</v>
      </c>
      <c r="E217" s="23">
        <f>SUM(E212:E215)</f>
        <v>30.799999999999997</v>
      </c>
      <c r="F217" s="22"/>
      <c r="G217" s="3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2:20" ht="13" x14ac:dyDescent="0.3">
      <c r="B218" s="2"/>
      <c r="C218" s="29" t="s">
        <v>81</v>
      </c>
      <c r="D218" s="22" t="s">
        <v>73</v>
      </c>
      <c r="E218" s="30">
        <f>E217*E156</f>
        <v>3079999.9999999995</v>
      </c>
      <c r="F218" s="22"/>
      <c r="G218" s="3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2:20" thickBot="1" x14ac:dyDescent="0.35">
      <c r="B219" s="2"/>
      <c r="C219" s="2"/>
      <c r="D219" s="22"/>
      <c r="E219" s="13"/>
      <c r="F219" s="22"/>
      <c r="G219" s="3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2:20" ht="14.5" thickTop="1" x14ac:dyDescent="0.3">
      <c r="B220" s="2"/>
      <c r="C220" s="21" t="s">
        <v>82</v>
      </c>
      <c r="D220" s="22" t="s">
        <v>41</v>
      </c>
      <c r="E220" s="58">
        <f>E217+E205</f>
        <v>499.88445495668049</v>
      </c>
      <c r="F220" s="22"/>
      <c r="G220" s="3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2:20" ht="13" x14ac:dyDescent="0.3">
      <c r="B221" s="2"/>
      <c r="C221" s="29" t="s">
        <v>83</v>
      </c>
      <c r="D221" s="22" t="s">
        <v>73</v>
      </c>
      <c r="E221" s="30">
        <f>E220*E10</f>
        <v>49988445.495668046</v>
      </c>
      <c r="F221" s="22"/>
      <c r="G221" s="3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2:20" thickBot="1" x14ac:dyDescent="0.35">
      <c r="B222" s="2"/>
      <c r="C222" s="2"/>
      <c r="D222" s="22"/>
      <c r="E222" s="13"/>
      <c r="F222" s="22"/>
      <c r="G222" s="3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2:20" thickTop="1" x14ac:dyDescent="0.3">
      <c r="B223" s="2"/>
      <c r="C223" s="104" t="s">
        <v>84</v>
      </c>
      <c r="D223" s="22" t="s">
        <v>5</v>
      </c>
      <c r="E223" s="58">
        <f>E224/E225</f>
        <v>0.8707664699245401</v>
      </c>
      <c r="F223" s="22"/>
      <c r="G223" s="3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2:20" ht="13" x14ac:dyDescent="0.3">
      <c r="B224" s="2"/>
      <c r="C224" s="24" t="s">
        <v>85</v>
      </c>
      <c r="D224" s="22" t="s">
        <v>41</v>
      </c>
      <c r="E224" s="52">
        <f>E220</f>
        <v>499.88445495668049</v>
      </c>
      <c r="F224" s="22"/>
      <c r="G224" s="3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2:20" ht="13" x14ac:dyDescent="0.3">
      <c r="B225" s="2"/>
      <c r="C225" s="24" t="s">
        <v>86</v>
      </c>
      <c r="D225" s="22" t="s">
        <v>41</v>
      </c>
      <c r="E225" s="52">
        <f>E17/E5</f>
        <v>574.07407407407413</v>
      </c>
      <c r="F225" s="22"/>
      <c r="G225" s="3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2:20" ht="13" x14ac:dyDescent="0.3">
      <c r="B226" s="2"/>
      <c r="C226" s="29" t="s">
        <v>87</v>
      </c>
      <c r="D226" s="22" t="s">
        <v>41</v>
      </c>
      <c r="E226" s="30">
        <f>E225-E224</f>
        <v>74.189619117393647</v>
      </c>
      <c r="F226" s="22"/>
      <c r="G226" s="3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2:20" ht="13" x14ac:dyDescent="0.3">
      <c r="B227" s="2"/>
      <c r="C227" s="2"/>
      <c r="D227" s="22"/>
      <c r="E227" s="83"/>
      <c r="F227" s="22"/>
      <c r="G227" s="3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2:20" ht="13" x14ac:dyDescent="0.3">
      <c r="B228" s="2"/>
      <c r="C228" s="2" t="s">
        <v>303</v>
      </c>
      <c r="D228" s="22" t="s">
        <v>73</v>
      </c>
      <c r="E228" s="83">
        <f>E225*E156</f>
        <v>57407407.40740741</v>
      </c>
      <c r="F228" s="22"/>
      <c r="G228" s="3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2:20" ht="13" x14ac:dyDescent="0.3">
      <c r="B229" s="2"/>
      <c r="C229" s="2" t="s">
        <v>305</v>
      </c>
      <c r="D229" s="22" t="s">
        <v>73</v>
      </c>
      <c r="E229" s="83">
        <f>-E220*E156</f>
        <v>-49988445.495668046</v>
      </c>
      <c r="F229" s="22"/>
      <c r="G229" s="3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2:20" ht="13" x14ac:dyDescent="0.3">
      <c r="B230" s="2"/>
      <c r="C230" s="2" t="s">
        <v>306</v>
      </c>
      <c r="D230" s="22" t="s">
        <v>73</v>
      </c>
      <c r="E230" s="83">
        <f>E226*E156</f>
        <v>7418961.9117393643</v>
      </c>
      <c r="F230" s="22"/>
      <c r="G230" s="3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2:20" thickBot="1" x14ac:dyDescent="0.35">
      <c r="B231" s="2"/>
      <c r="C231" s="2"/>
      <c r="D231" s="22"/>
      <c r="E231" s="83"/>
      <c r="F231" s="22"/>
      <c r="G231" s="3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2:20" thickTop="1" x14ac:dyDescent="0.3">
      <c r="B232" s="2"/>
      <c r="C232" s="104" t="s">
        <v>267</v>
      </c>
      <c r="D232" s="22" t="s">
        <v>73</v>
      </c>
      <c r="E232" s="23">
        <f>-'Fixed Cost'!D47*1000000</f>
        <v>-915000</v>
      </c>
      <c r="F232" s="22"/>
      <c r="G232" s="3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2:20" ht="13" x14ac:dyDescent="0.3">
      <c r="B233" s="2"/>
      <c r="C233" s="24" t="s">
        <v>297</v>
      </c>
      <c r="D233" s="22" t="s">
        <v>73</v>
      </c>
      <c r="E233" s="52">
        <f>(E226*E10)+E232</f>
        <v>6503961.9117393643</v>
      </c>
      <c r="F233" s="2"/>
      <c r="G233" s="3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2:20" ht="13" x14ac:dyDescent="0.3">
      <c r="B234" s="2"/>
      <c r="C234" s="24" t="s">
        <v>298</v>
      </c>
      <c r="D234" s="22" t="s">
        <v>73</v>
      </c>
      <c r="E234" s="52">
        <f>-'Fixed Cost'!D48*1000000</f>
        <v>-1747500</v>
      </c>
      <c r="F234" s="2"/>
      <c r="G234" s="3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2:20" ht="13" x14ac:dyDescent="0.3">
      <c r="B235" s="2"/>
      <c r="C235" s="29" t="s">
        <v>299</v>
      </c>
      <c r="D235" s="22" t="s">
        <v>73</v>
      </c>
      <c r="E235" s="30">
        <f>E233+E234</f>
        <v>4756461.9117393643</v>
      </c>
      <c r="F235" s="2"/>
      <c r="G235" s="3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2:20" ht="14" thickBot="1" x14ac:dyDescent="0.4">
      <c r="G236" s="34"/>
    </row>
    <row r="237" spans="2:20" ht="15" thickTop="1" x14ac:dyDescent="0.35">
      <c r="C237" s="31" t="s">
        <v>47</v>
      </c>
      <c r="G237" s="34"/>
      <c r="J237" s="4" t="s">
        <v>223</v>
      </c>
    </row>
    <row r="238" spans="2:20" x14ac:dyDescent="0.35">
      <c r="C238" s="24" t="s">
        <v>18</v>
      </c>
      <c r="E238" s="209">
        <f>+E73*$E$19</f>
        <v>8974717.0344462767</v>
      </c>
      <c r="G238" s="73">
        <f>1/(+$E$20*$E$105)*E49*$E$104*D24</f>
        <v>8974717.0344462767</v>
      </c>
      <c r="H238" s="73">
        <f>(1/(+$E$20*$E$105)-1)*E49*$E$104*D24</f>
        <v>1399747.6655906569</v>
      </c>
      <c r="I238" s="4">
        <f>H238/$E$104</f>
        <v>8.8569738163260094</v>
      </c>
    </row>
    <row r="239" spans="2:20" x14ac:dyDescent="0.35">
      <c r="C239" s="24" t="s">
        <v>19</v>
      </c>
      <c r="E239" s="209">
        <f>+E74*$E$19</f>
        <v>2246909.190573018</v>
      </c>
      <c r="G239" s="73">
        <f>1/(+$E$20*$E$105)*E50*$E$104*D25</f>
        <v>2246909.190573018</v>
      </c>
      <c r="H239" s="73">
        <f>(1/(+$E$20*$E$105)-1)*E50*$E$104*D25</f>
        <v>350440.6748677867</v>
      </c>
      <c r="I239" s="4">
        <f>H239/$E$104</f>
        <v>2.2174310111600448</v>
      </c>
    </row>
    <row r="240" spans="2:20" x14ac:dyDescent="0.35">
      <c r="C240" s="24" t="s">
        <v>20</v>
      </c>
      <c r="E240" s="209">
        <f>+E75*$E$19</f>
        <v>39309120.010631166</v>
      </c>
      <c r="G240" s="73">
        <f>1/(+$E$20*$E$105)*E51*$E$104*D26</f>
        <v>39309120.010631166</v>
      </c>
      <c r="H240" s="73">
        <f>(1/(+$E$20*$E$105)-1)*E51*$E$104*D26</f>
        <v>6130872.8464772999</v>
      </c>
      <c r="I240" s="4">
        <f>H240/$E$104</f>
        <v>38.793406559860173</v>
      </c>
      <c r="J240" s="4">
        <f>SUM(I238:I240)</f>
        <v>49.867811387346229</v>
      </c>
    </row>
    <row r="241" spans="3:11" x14ac:dyDescent="0.35">
      <c r="C241" s="24" t="s">
        <v>21</v>
      </c>
      <c r="E241" s="209">
        <f>+E76*$E$19</f>
        <v>0</v>
      </c>
      <c r="G241" s="34"/>
    </row>
    <row r="242" spans="3:11" x14ac:dyDescent="0.35">
      <c r="C242" s="24" t="s">
        <v>22</v>
      </c>
      <c r="E242" s="209">
        <f>+E77*$E$19</f>
        <v>0</v>
      </c>
      <c r="G242" s="34"/>
    </row>
    <row r="243" spans="3:11" x14ac:dyDescent="0.35">
      <c r="C243" s="24"/>
      <c r="E243" s="209"/>
      <c r="G243" s="34"/>
    </row>
    <row r="244" spans="3:11" x14ac:dyDescent="0.35">
      <c r="C244" s="24" t="s">
        <v>42</v>
      </c>
      <c r="E244" s="209">
        <f>+E79*$E$19</f>
        <v>-2048671.6211126507</v>
      </c>
      <c r="G244" s="233">
        <f>+E244/$E$104</f>
        <v>-12.963072811261434</v>
      </c>
      <c r="J244" s="63">
        <f>(E244/E104)+E245/E104</f>
        <v>-13.890780064580355</v>
      </c>
    </row>
    <row r="245" spans="3:11" x14ac:dyDescent="0.35">
      <c r="C245" s="24" t="s">
        <v>225</v>
      </c>
      <c r="E245" s="209">
        <f>+E139*E104</f>
        <v>-146613.96647589255</v>
      </c>
      <c r="G245" s="233">
        <f>+E245/$E$104</f>
        <v>-0.92770725331892079</v>
      </c>
      <c r="J245" s="63"/>
    </row>
    <row r="246" spans="3:11" x14ac:dyDescent="0.35">
      <c r="C246" s="24"/>
      <c r="E246" s="209"/>
      <c r="G246" s="34"/>
      <c r="I246" s="4" t="s">
        <v>229</v>
      </c>
    </row>
    <row r="247" spans="3:11" x14ac:dyDescent="0.35">
      <c r="C247" s="24" t="s">
        <v>24</v>
      </c>
      <c r="E247" s="209">
        <f>+E81*$E$19</f>
        <v>3991730.0419513807</v>
      </c>
      <c r="G247" s="233">
        <f t="shared" ref="G247:G252" si="2">+E247/$E$104</f>
        <v>25.257872781296307</v>
      </c>
      <c r="H247" s="242">
        <f t="shared" ref="H247:H252" si="3">+G247/$G$269</f>
        <v>0.38325117481993043</v>
      </c>
      <c r="I247" s="241">
        <f t="shared" ref="I247:I252" si="4">H247*$E$272</f>
        <v>6.2775771067568016</v>
      </c>
      <c r="J247" s="241">
        <f t="shared" ref="J247:J252" si="5">G247-I247</f>
        <v>18.980295674539505</v>
      </c>
      <c r="K247" s="4">
        <v>25.2578727812963</v>
      </c>
    </row>
    <row r="248" spans="3:11" x14ac:dyDescent="0.35">
      <c r="C248" s="24" t="s">
        <v>218</v>
      </c>
      <c r="E248" s="209">
        <f>+E141*$E$104</f>
        <v>267.36883846328431</v>
      </c>
      <c r="G248" s="233">
        <f t="shared" si="2"/>
        <v>1.691789784533443E-3</v>
      </c>
      <c r="H248" s="242">
        <f t="shared" si="3"/>
        <v>2.5670428704943466E-5</v>
      </c>
      <c r="I248" s="241">
        <f t="shared" si="4"/>
        <v>4.2047645551119515E-4</v>
      </c>
      <c r="J248" s="241">
        <f t="shared" si="5"/>
        <v>1.2713133290222479E-3</v>
      </c>
      <c r="K248" s="4">
        <v>1.7291443409618123E-3</v>
      </c>
    </row>
    <row r="249" spans="3:11" x14ac:dyDescent="0.35">
      <c r="C249" s="24" t="s">
        <v>26</v>
      </c>
      <c r="E249" s="209">
        <f>+E82*$E$19</f>
        <v>1536971.1789043534</v>
      </c>
      <c r="G249" s="233">
        <f t="shared" si="2"/>
        <v>9.7252625045524059</v>
      </c>
      <c r="H249" s="242">
        <f t="shared" si="3"/>
        <v>0.14756659488212995</v>
      </c>
      <c r="I249" s="241">
        <f t="shared" si="4"/>
        <v>2.4171111235063076</v>
      </c>
      <c r="J249" s="241">
        <f t="shared" si="5"/>
        <v>7.3081513810460983</v>
      </c>
      <c r="K249" s="4">
        <v>9.7252625045524095</v>
      </c>
    </row>
    <row r="250" spans="3:11" x14ac:dyDescent="0.35">
      <c r="C250" s="24" t="s">
        <v>217</v>
      </c>
      <c r="E250" s="209">
        <f>+E142*$E$104</f>
        <v>196926.64312074916</v>
      </c>
      <c r="G250" s="233">
        <f t="shared" si="2"/>
        <v>1.24606324749358</v>
      </c>
      <c r="H250" s="242">
        <f t="shared" si="3"/>
        <v>1.8907182233314852E-2</v>
      </c>
      <c r="I250" s="241">
        <f t="shared" si="4"/>
        <v>0.30969583954153057</v>
      </c>
      <c r="J250" s="241">
        <f t="shared" si="5"/>
        <v>0.93636740795204942</v>
      </c>
      <c r="K250" s="4">
        <v>1.2735762046690795</v>
      </c>
    </row>
    <row r="251" spans="3:11" x14ac:dyDescent="0.35">
      <c r="C251" s="24" t="s">
        <v>27</v>
      </c>
      <c r="E251" s="209">
        <f>+E83*$E$19</f>
        <v>2397158.1556321885</v>
      </c>
      <c r="G251" s="233">
        <f t="shared" si="2"/>
        <v>15.168138900997899</v>
      </c>
      <c r="H251" s="242">
        <f t="shared" si="3"/>
        <v>0.23015426136535411</v>
      </c>
      <c r="I251" s="241">
        <f t="shared" si="4"/>
        <v>3.7698804781185844</v>
      </c>
      <c r="J251" s="241">
        <f t="shared" si="5"/>
        <v>11.398258422879316</v>
      </c>
      <c r="K251" s="4">
        <v>15.503049955356182</v>
      </c>
    </row>
    <row r="252" spans="3:11" x14ac:dyDescent="0.35">
      <c r="C252" s="24" t="s">
        <v>28</v>
      </c>
      <c r="E252" s="209">
        <f>+E84*$E$19</f>
        <v>47680.072386409855</v>
      </c>
      <c r="G252" s="233">
        <f t="shared" si="2"/>
        <v>0.301698058205913</v>
      </c>
      <c r="H252" s="242">
        <f t="shared" si="3"/>
        <v>4.5778255457019391E-3</v>
      </c>
      <c r="I252" s="241">
        <f t="shared" si="4"/>
        <v>7.4983861061684337E-2</v>
      </c>
      <c r="J252" s="241">
        <f t="shared" si="5"/>
        <v>0.22671419714422866</v>
      </c>
      <c r="K252" s="4">
        <v>0.30835952243900633</v>
      </c>
    </row>
    <row r="253" spans="3:11" ht="14.5" x14ac:dyDescent="0.35">
      <c r="C253" s="55"/>
      <c r="E253" s="209"/>
      <c r="G253" s="240"/>
      <c r="H253" s="243"/>
    </row>
    <row r="254" spans="3:11" x14ac:dyDescent="0.35">
      <c r="C254" s="24" t="s">
        <v>214</v>
      </c>
      <c r="E254" s="209">
        <f>+E86*$E$19</f>
        <v>7943950.6507337755</v>
      </c>
      <c r="G254" s="233">
        <f t="shared" ref="G254:G264" si="6">+E254/$E$104</f>
        <v>50.26574763533911</v>
      </c>
      <c r="H254" s="245"/>
    </row>
    <row r="255" spans="3:11" x14ac:dyDescent="0.35">
      <c r="C255" s="24" t="s">
        <v>215</v>
      </c>
      <c r="E255" s="209">
        <f>+E87*$E$19</f>
        <v>2668451.7439548261</v>
      </c>
      <c r="G255" s="233">
        <f t="shared" si="6"/>
        <v>16.884762737835516</v>
      </c>
      <c r="H255" s="245"/>
    </row>
    <row r="256" spans="3:11" x14ac:dyDescent="0.35">
      <c r="C256" s="24" t="s">
        <v>219</v>
      </c>
      <c r="E256" s="209">
        <f>+E144*$E$104</f>
        <v>59560.42492801421</v>
      </c>
      <c r="G256" s="233">
        <f t="shared" si="6"/>
        <v>0.37687158696140488</v>
      </c>
      <c r="H256" s="242">
        <f t="shared" ref="H256:H264" si="7">+G256/$G$269</f>
        <v>5.7184735907834083E-3</v>
      </c>
      <c r="I256" s="241">
        <f t="shared" ref="I256:I264" si="8">H256*$E$272</f>
        <v>9.3667446462393611E-2</v>
      </c>
      <c r="J256" s="241">
        <f t="shared" ref="J256:J264" si="9">G256-I256</f>
        <v>0.28320414049901127</v>
      </c>
      <c r="K256" s="4">
        <v>0.38519287551043185</v>
      </c>
    </row>
    <row r="257" spans="3:11" x14ac:dyDescent="0.35">
      <c r="C257" s="24" t="s">
        <v>31</v>
      </c>
      <c r="E257" s="209">
        <f>+E88*$E$19</f>
        <v>581846.74448127695</v>
      </c>
      <c r="G257" s="233">
        <f t="shared" si="6"/>
        <v>3.6816645654562308</v>
      </c>
      <c r="H257" s="242">
        <f t="shared" si="7"/>
        <v>5.5863860041644904E-2</v>
      </c>
      <c r="I257" s="241">
        <f t="shared" si="8"/>
        <v>0.91503878378785608</v>
      </c>
      <c r="J257" s="241">
        <f t="shared" si="9"/>
        <v>2.7666257816683748</v>
      </c>
      <c r="K257" s="4">
        <v>3.7629553664871582</v>
      </c>
    </row>
    <row r="258" spans="3:11" x14ac:dyDescent="0.35">
      <c r="C258" s="24" t="s">
        <v>220</v>
      </c>
      <c r="E258" s="209">
        <f>+E145*$E$104</f>
        <v>265661.29721337633</v>
      </c>
      <c r="G258" s="233">
        <f t="shared" si="6"/>
        <v>1.6809852313182392</v>
      </c>
      <c r="H258" s="242">
        <f t="shared" si="7"/>
        <v>2.5506485456476491E-2</v>
      </c>
      <c r="I258" s="241">
        <f t="shared" si="8"/>
        <v>0.4177910980980909</v>
      </c>
      <c r="J258" s="241">
        <f t="shared" si="9"/>
        <v>1.2631941332201482</v>
      </c>
      <c r="K258" s="4">
        <v>1.7181012242463143</v>
      </c>
    </row>
    <row r="259" spans="3:11" x14ac:dyDescent="0.35">
      <c r="C259" s="24" t="s">
        <v>33</v>
      </c>
      <c r="E259" s="209">
        <f>+E89*$E$19</f>
        <v>66907.8857367827</v>
      </c>
      <c r="G259" s="233">
        <f t="shared" si="6"/>
        <v>0.42336301509483459</v>
      </c>
      <c r="H259" s="242">
        <f t="shared" si="7"/>
        <v>6.4239128257291009E-3</v>
      </c>
      <c r="I259" s="241">
        <f t="shared" si="8"/>
        <v>0.1052223991473627</v>
      </c>
      <c r="J259" s="241">
        <f t="shared" si="9"/>
        <v>0.31814061594747189</v>
      </c>
      <c r="K259" s="4">
        <v>0.43271082992479931</v>
      </c>
    </row>
    <row r="260" spans="3:11" x14ac:dyDescent="0.35">
      <c r="C260" s="24" t="s">
        <v>221</v>
      </c>
      <c r="E260" s="209">
        <f>+E146*$E$104</f>
        <v>21395.551450373197</v>
      </c>
      <c r="G260" s="233">
        <f t="shared" si="6"/>
        <v>0.13538142883906679</v>
      </c>
      <c r="H260" s="242">
        <f t="shared" si="7"/>
        <v>2.0542146245108401E-3</v>
      </c>
      <c r="I260" s="241">
        <f t="shared" si="8"/>
        <v>3.3647622098622876E-2</v>
      </c>
      <c r="J260" s="241">
        <f t="shared" si="9"/>
        <v>0.10173380674044391</v>
      </c>
      <c r="K260" s="4">
        <v>0.13837063782304043</v>
      </c>
    </row>
    <row r="261" spans="3:11" x14ac:dyDescent="0.35">
      <c r="C261" s="24" t="s">
        <v>35</v>
      </c>
      <c r="E261" s="209">
        <f>+E90*$E$19</f>
        <v>949936.12278535112</v>
      </c>
      <c r="G261" s="233">
        <f t="shared" si="6"/>
        <v>6.0107686360325534</v>
      </c>
      <c r="H261" s="242">
        <f t="shared" si="7"/>
        <v>9.1204598315822144E-2</v>
      </c>
      <c r="I261" s="241">
        <f t="shared" si="8"/>
        <v>1.4939129637041904</v>
      </c>
      <c r="J261" s="241">
        <f t="shared" si="9"/>
        <v>4.5168556723283633</v>
      </c>
      <c r="K261" s="4">
        <v>6.1434858318953181</v>
      </c>
    </row>
    <row r="262" spans="3:11" x14ac:dyDescent="0.35">
      <c r="C262" s="24" t="s">
        <v>222</v>
      </c>
      <c r="E262" s="209">
        <f>+E147*$E$104</f>
        <v>94446.778154008745</v>
      </c>
      <c r="G262" s="233">
        <f t="shared" si="6"/>
        <v>0.59761674315307411</v>
      </c>
      <c r="H262" s="242">
        <f t="shared" si="7"/>
        <v>9.0679575785606367E-3</v>
      </c>
      <c r="I262" s="241">
        <f t="shared" si="8"/>
        <v>0.14853132003303074</v>
      </c>
      <c r="J262" s="241">
        <f t="shared" si="9"/>
        <v>0.4490854231200434</v>
      </c>
      <c r="K262" s="4">
        <v>0.61081206361116891</v>
      </c>
    </row>
    <row r="263" spans="3:11" x14ac:dyDescent="0.35">
      <c r="C263" s="24" t="s">
        <v>36</v>
      </c>
      <c r="E263" s="209">
        <f>+E91*$E$19</f>
        <v>111557.25464932964</v>
      </c>
      <c r="G263" s="233">
        <f t="shared" si="6"/>
        <v>0.70588414450642445</v>
      </c>
      <c r="H263" s="242">
        <f t="shared" si="7"/>
        <v>1.0710756602954286E-2</v>
      </c>
      <c r="I263" s="241">
        <f t="shared" si="8"/>
        <v>0.17544003740716904</v>
      </c>
      <c r="J263" s="241">
        <f t="shared" si="9"/>
        <v>0.53044410709925538</v>
      </c>
      <c r="K263" s="4">
        <v>0.72146999881818108</v>
      </c>
    </row>
    <row r="264" spans="3:11" x14ac:dyDescent="0.35">
      <c r="C264" s="24" t="s">
        <v>37</v>
      </c>
      <c r="E264" s="209">
        <f>+E92*$E$19</f>
        <v>93395.590488303875</v>
      </c>
      <c r="G264" s="233">
        <f t="shared" si="6"/>
        <v>0.59096530028228778</v>
      </c>
      <c r="H264" s="242">
        <f t="shared" si="7"/>
        <v>8.9670316883817859E-3</v>
      </c>
      <c r="I264" s="241">
        <f t="shared" si="8"/>
        <v>0.14687817426521022</v>
      </c>
      <c r="J264" s="241">
        <f t="shared" si="9"/>
        <v>0.44408712601707756</v>
      </c>
      <c r="K264" s="4">
        <v>0.6040137575187704</v>
      </c>
    </row>
    <row r="265" spans="3:11" x14ac:dyDescent="0.35">
      <c r="C265" s="24"/>
      <c r="E265" s="209"/>
      <c r="G265" s="240"/>
      <c r="H265" s="243"/>
    </row>
    <row r="266" spans="3:11" x14ac:dyDescent="0.35">
      <c r="C266" s="24" t="s">
        <v>38</v>
      </c>
      <c r="E266" s="209">
        <f>+E94*$E$19</f>
        <v>0</v>
      </c>
      <c r="G266" s="233">
        <f>+E266/$E$104</f>
        <v>0</v>
      </c>
      <c r="H266" s="242">
        <f>+G266/$G$269</f>
        <v>0</v>
      </c>
      <c r="I266" s="241">
        <f>H266*$E$272</f>
        <v>0</v>
      </c>
      <c r="J266" s="241">
        <f>G266-I266</f>
        <v>0</v>
      </c>
      <c r="K266" s="4">
        <v>3.6845011123545284</v>
      </c>
    </row>
    <row r="267" spans="3:11" x14ac:dyDescent="0.35">
      <c r="C267" s="29" t="s">
        <v>39</v>
      </c>
      <c r="E267" s="209">
        <f>+E95*$E$19</f>
        <v>0</v>
      </c>
      <c r="G267" s="34"/>
    </row>
    <row r="268" spans="3:11" x14ac:dyDescent="0.35">
      <c r="E268" s="209"/>
      <c r="G268" s="34"/>
    </row>
    <row r="269" spans="3:11" x14ac:dyDescent="0.35">
      <c r="E269" s="209">
        <f>SUM(E238:E267)</f>
        <v>69363304.153470874</v>
      </c>
      <c r="G269" s="233">
        <f>SUM(G247:G266)-G254-G255</f>
        <v>65.904227933974767</v>
      </c>
      <c r="J269" s="54">
        <f>SUM(E247:E267)/E104</f>
        <v>133.05473830714936</v>
      </c>
    </row>
    <row r="270" spans="3:11" x14ac:dyDescent="0.35">
      <c r="E270" s="238">
        <f>E269/E104</f>
        <v>438.89979873044433</v>
      </c>
      <c r="G270" s="34"/>
      <c r="J270" s="238">
        <f>+J269+J244</f>
        <v>119.16395824256901</v>
      </c>
      <c r="K270" s="4" t="s">
        <v>224</v>
      </c>
    </row>
    <row r="271" spans="3:11" x14ac:dyDescent="0.35">
      <c r="E271" s="239">
        <v>422.52</v>
      </c>
      <c r="G271" s="34"/>
    </row>
    <row r="272" spans="3:11" x14ac:dyDescent="0.35">
      <c r="E272" s="54">
        <f>E270-E271</f>
        <v>16.37979873044435</v>
      </c>
      <c r="G272" s="34"/>
    </row>
    <row r="273" spans="5:7" x14ac:dyDescent="0.35">
      <c r="E273" s="209"/>
      <c r="G273" s="34"/>
    </row>
    <row r="274" spans="5:7" x14ac:dyDescent="0.35">
      <c r="E274" s="209"/>
      <c r="G274" s="34"/>
    </row>
    <row r="275" spans="5:7" x14ac:dyDescent="0.35">
      <c r="G275" s="34"/>
    </row>
    <row r="276" spans="5:7" x14ac:dyDescent="0.35">
      <c r="G276" s="34"/>
    </row>
    <row r="277" spans="5:7" x14ac:dyDescent="0.35">
      <c r="G277" s="34"/>
    </row>
    <row r="278" spans="5:7" x14ac:dyDescent="0.35">
      <c r="G278" s="34"/>
    </row>
    <row r="352" spans="2:20" ht="13" x14ac:dyDescent="0.3"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2:20" ht="13" x14ac:dyDescent="0.3"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2:20" ht="13" x14ac:dyDescent="0.3"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2:20" ht="13" x14ac:dyDescent="0.3"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2:20" ht="13" x14ac:dyDescent="0.3"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2:20" ht="13" x14ac:dyDescent="0.3"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2:20" ht="13" x14ac:dyDescent="0.3"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2:20" ht="13" x14ac:dyDescent="0.3"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2:20" ht="13" x14ac:dyDescent="0.3"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2:20" ht="13" x14ac:dyDescent="0.3"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</sheetData>
  <pageMargins left="0.7" right="0.7" top="0.75" bottom="0.75" header="0.3" footer="0.3"/>
  <pageSetup orientation="portrait" r:id="rId1"/>
  <headerFooter>
    <oddFooter>&amp;C&amp;1#&amp;"Calibri"&amp;10&amp;K737373EZDK Business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D6EBD"/>
  </sheetPr>
  <dimension ref="B1:V361"/>
  <sheetViews>
    <sheetView showGridLines="0" topLeftCell="A163" zoomScaleNormal="100" workbookViewId="0">
      <selection activeCell="E193" sqref="E193"/>
    </sheetView>
  </sheetViews>
  <sheetFormatPr defaultColWidth="9.1796875" defaultRowHeight="13.5" x14ac:dyDescent="0.35"/>
  <cols>
    <col min="1" max="1" width="9.1796875" style="4"/>
    <col min="2" max="2" width="2.26953125" style="4" customWidth="1"/>
    <col min="3" max="3" width="31.81640625" style="108" customWidth="1"/>
    <col min="4" max="4" width="7.81640625" style="109" customWidth="1"/>
    <col min="5" max="5" width="16.453125" style="4" customWidth="1"/>
    <col min="6" max="6" width="3.7265625" style="4" customWidth="1"/>
    <col min="7" max="7" width="16.81640625" style="4" bestFit="1" customWidth="1"/>
    <col min="8" max="8" width="12.54296875" style="4" bestFit="1" customWidth="1"/>
    <col min="9" max="9" width="11.26953125" style="4" customWidth="1"/>
    <col min="10" max="10" width="19.54296875" style="4" bestFit="1" customWidth="1"/>
    <col min="11" max="16384" width="9.1796875" style="4"/>
  </cols>
  <sheetData>
    <row r="1" spans="2:22" ht="13" x14ac:dyDescent="0.3"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2:22" s="6" customFormat="1" ht="15" thickBot="1" x14ac:dyDescent="0.4">
      <c r="B2" s="2"/>
      <c r="C2" s="2"/>
      <c r="D2" s="3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14" thickTop="1" thickBot="1" x14ac:dyDescent="0.35">
      <c r="B3" s="2"/>
      <c r="C3" s="7" t="s">
        <v>0</v>
      </c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2" ht="14" thickTop="1" thickBot="1" x14ac:dyDescent="0.35">
      <c r="B4" s="2"/>
      <c r="C4" s="2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2" ht="14.5" thickTop="1" x14ac:dyDescent="0.3">
      <c r="B5" s="2"/>
      <c r="C5" s="9" t="s">
        <v>1</v>
      </c>
      <c r="D5" s="3"/>
      <c r="E5" s="10">
        <f>+Billet!D7</f>
        <v>16.2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2" ht="14" x14ac:dyDescent="0.3">
      <c r="B6" s="2"/>
      <c r="C6" s="12" t="s">
        <v>2</v>
      </c>
      <c r="D6" s="3"/>
      <c r="E6" s="1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2:22" ht="7.5" customHeight="1" thickBot="1" x14ac:dyDescent="0.35">
      <c r="B7" s="2"/>
      <c r="C7" s="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2" ht="15" thickTop="1" thickBot="1" x14ac:dyDescent="0.35">
      <c r="B8" s="2"/>
      <c r="C8" s="9" t="s">
        <v>3</v>
      </c>
      <c r="D8" s="3"/>
      <c r="E8" s="14">
        <v>1200000</v>
      </c>
      <c r="F8" s="1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2:22" ht="14.5" thickTop="1" x14ac:dyDescent="0.3">
      <c r="B9" s="2"/>
      <c r="C9" s="9" t="s">
        <v>4</v>
      </c>
      <c r="D9" s="3" t="s">
        <v>5</v>
      </c>
      <c r="E9" s="16">
        <f>E10/E8</f>
        <v>5.8333333333333334E-2</v>
      </c>
      <c r="F9" s="1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2:22" ht="14" x14ac:dyDescent="0.3">
      <c r="B10" s="2"/>
      <c r="C10" s="12" t="s">
        <v>6</v>
      </c>
      <c r="D10" s="3"/>
      <c r="E10" s="19">
        <f>'Market Share'!E7*1000</f>
        <v>70000</v>
      </c>
      <c r="F10" s="17"/>
      <c r="G10" s="23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2:22" ht="14" x14ac:dyDescent="0.3">
      <c r="B11" s="2"/>
      <c r="C11" s="12"/>
      <c r="D11" s="3"/>
      <c r="E11" s="18"/>
      <c r="F11" s="1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2:22" ht="14" x14ac:dyDescent="0.3">
      <c r="B12" s="2"/>
      <c r="C12" s="12" t="s">
        <v>7</v>
      </c>
      <c r="D12" s="3" t="s">
        <v>5</v>
      </c>
      <c r="E12" s="16"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2" ht="14" x14ac:dyDescent="0.3">
      <c r="B13" s="2"/>
      <c r="C13" s="12" t="s">
        <v>8</v>
      </c>
      <c r="D13" s="3" t="s">
        <v>5</v>
      </c>
      <c r="E13" s="16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2:22" ht="6.75" customHeight="1" x14ac:dyDescent="0.3">
      <c r="B14" s="2"/>
      <c r="C14" s="12"/>
      <c r="D14" s="3"/>
      <c r="E14" s="1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2:22" ht="14" x14ac:dyDescent="0.3">
      <c r="B15" s="2"/>
      <c r="C15" s="12" t="s">
        <v>9</v>
      </c>
      <c r="D15" s="3" t="s">
        <v>10</v>
      </c>
      <c r="E15" s="20"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2:22" ht="14" x14ac:dyDescent="0.3">
      <c r="B16" s="2"/>
      <c r="C16" s="12" t="s">
        <v>11</v>
      </c>
      <c r="D16" s="3" t="s">
        <v>10</v>
      </c>
      <c r="E16" s="20"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2:20" ht="14" x14ac:dyDescent="0.3">
      <c r="B17" s="2"/>
      <c r="C17" s="12" t="s">
        <v>11</v>
      </c>
      <c r="D17" s="3" t="s">
        <v>12</v>
      </c>
      <c r="E17" s="13">
        <f>'Market Share'!E30</f>
        <v>9300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2:20" ht="8.25" customHeight="1" thickBot="1" x14ac:dyDescent="0.35">
      <c r="B18" s="2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2:20" ht="14.5" thickTop="1" x14ac:dyDescent="0.3">
      <c r="B19" s="2"/>
      <c r="C19" s="21" t="s">
        <v>13</v>
      </c>
      <c r="D19" s="22" t="s">
        <v>14</v>
      </c>
      <c r="E19" s="23">
        <f>E106</f>
        <v>73531.925907760815</v>
      </c>
      <c r="F19" s="2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2:20" ht="13" x14ac:dyDescent="0.3">
      <c r="B20" s="2"/>
      <c r="C20" s="24" t="s">
        <v>15</v>
      </c>
      <c r="D20" s="22" t="s">
        <v>5</v>
      </c>
      <c r="E20" s="25">
        <f>+Billet!F17%</f>
        <v>0.8417</v>
      </c>
      <c r="F20" s="2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2:20" ht="13" x14ac:dyDescent="0.3">
      <c r="B21" s="2"/>
      <c r="C21" s="29" t="s">
        <v>16</v>
      </c>
      <c r="D21" s="22" t="s">
        <v>14</v>
      </c>
      <c r="E21" s="30">
        <f>E19/E20</f>
        <v>87361.204595177391</v>
      </c>
      <c r="F21" s="2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2:20" ht="9" customHeight="1" thickBot="1" x14ac:dyDescent="0.35"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2:20" ht="15" thickTop="1" thickBot="1" x14ac:dyDescent="0.35">
      <c r="B23" s="2"/>
      <c r="C23" s="31" t="s">
        <v>17</v>
      </c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2:20" thickTop="1" x14ac:dyDescent="0.3">
      <c r="B24" s="2"/>
      <c r="C24" s="24" t="s">
        <v>18</v>
      </c>
      <c r="D24" s="32">
        <f>+Billet!F15%</f>
        <v>5.978E-2</v>
      </c>
      <c r="E24" s="33">
        <f>D24*$E$21</f>
        <v>5222.4528106997041</v>
      </c>
      <c r="F24" s="2"/>
      <c r="G24" s="3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2:20" ht="13" x14ac:dyDescent="0.3">
      <c r="B25" s="2"/>
      <c r="C25" s="24" t="s">
        <v>19</v>
      </c>
      <c r="D25" s="32">
        <f>+Billet!F14%</f>
        <v>0.14000000000000001</v>
      </c>
      <c r="E25" s="35">
        <f>D25*$E$21</f>
        <v>12230.568643324836</v>
      </c>
      <c r="F25" s="2"/>
      <c r="G25" s="3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2:20" ht="13" x14ac:dyDescent="0.3">
      <c r="B26" s="2"/>
      <c r="C26" s="24" t="s">
        <v>20</v>
      </c>
      <c r="D26" s="32">
        <f>+Billet!F13%</f>
        <v>0.8</v>
      </c>
      <c r="E26" s="35">
        <f>D26*$E$21</f>
        <v>69888.96367614191</v>
      </c>
      <c r="F26" s="2"/>
      <c r="G26" s="3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2:20" ht="13" x14ac:dyDescent="0.3">
      <c r="B27" s="2"/>
      <c r="C27" s="24" t="s">
        <v>21</v>
      </c>
      <c r="D27" s="32">
        <v>0</v>
      </c>
      <c r="E27" s="35">
        <f>D27*$E$21</f>
        <v>0</v>
      </c>
      <c r="F27" s="2"/>
      <c r="G27" s="3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2:20" ht="13" x14ac:dyDescent="0.3">
      <c r="B28" s="2"/>
      <c r="C28" s="24" t="s">
        <v>22</v>
      </c>
      <c r="D28" s="32">
        <v>0</v>
      </c>
      <c r="E28" s="35">
        <f>D28*$E$21</f>
        <v>0</v>
      </c>
      <c r="F28" s="2"/>
      <c r="G28" s="3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2:20" ht="8.25" customHeight="1" x14ac:dyDescent="0.3">
      <c r="B29" s="2"/>
      <c r="C29" s="24"/>
      <c r="D29" s="36"/>
      <c r="E29" s="37"/>
      <c r="F29" s="2"/>
      <c r="G29" s="3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2:20" ht="13" x14ac:dyDescent="0.3">
      <c r="B30" s="2"/>
      <c r="C30" s="24" t="s">
        <v>23</v>
      </c>
      <c r="D30" s="38">
        <v>-3.4560193581918329E-2</v>
      </c>
      <c r="E30" s="39">
        <f>+D30*E21</f>
        <v>-3019.2201423589036</v>
      </c>
      <c r="F30" s="2"/>
      <c r="G30" s="73"/>
      <c r="H30" s="3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2:20" thickBot="1" x14ac:dyDescent="0.35">
      <c r="B31" s="2"/>
      <c r="C31" s="24"/>
      <c r="D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2:20" thickTop="1" x14ac:dyDescent="0.3">
      <c r="B32" s="2"/>
      <c r="C32" s="24" t="s">
        <v>24</v>
      </c>
      <c r="D32" s="3" t="s">
        <v>25</v>
      </c>
      <c r="E32" s="33">
        <v>422.601588476686</v>
      </c>
      <c r="F32" s="40"/>
      <c r="G32" s="34"/>
      <c r="H32" s="3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2:20" ht="13" x14ac:dyDescent="0.3">
      <c r="B33" s="2"/>
      <c r="C33" s="42" t="s">
        <v>26</v>
      </c>
      <c r="D33" s="3" t="s">
        <v>25</v>
      </c>
      <c r="E33" s="43">
        <v>10.508597530041635</v>
      </c>
      <c r="F33" s="15"/>
      <c r="G33" s="34"/>
      <c r="H33" s="3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2:20" ht="13" x14ac:dyDescent="0.3">
      <c r="B34" s="2"/>
      <c r="C34" s="24" t="s">
        <v>27</v>
      </c>
      <c r="D34" s="3" t="s">
        <v>25</v>
      </c>
      <c r="E34" s="90">
        <v>2.5805617152642326</v>
      </c>
      <c r="F34" s="15"/>
      <c r="G34" s="3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2:20" ht="13" x14ac:dyDescent="0.3">
      <c r="B35" s="2"/>
      <c r="C35" s="24" t="s">
        <v>28</v>
      </c>
      <c r="D35" s="3" t="s">
        <v>25</v>
      </c>
      <c r="E35" s="45">
        <v>1.2842586100701208</v>
      </c>
      <c r="F35" s="15"/>
      <c r="G35" s="3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2:20" thickBot="1" x14ac:dyDescent="0.35">
      <c r="B36" s="2"/>
      <c r="C36" s="24"/>
      <c r="D36" s="3"/>
      <c r="E36" s="46"/>
      <c r="F36" s="15"/>
      <c r="G36" s="3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2:20" thickTop="1" x14ac:dyDescent="0.3">
      <c r="B37" s="2"/>
      <c r="C37" s="24" t="s">
        <v>214</v>
      </c>
      <c r="D37" s="22" t="s">
        <v>216</v>
      </c>
      <c r="E37" s="47">
        <f>+Billet!F20</f>
        <v>708.39</v>
      </c>
      <c r="F37" s="15"/>
      <c r="G37" s="34">
        <f>+E37*E19</f>
        <v>52089280.993798681</v>
      </c>
      <c r="H37" s="3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2:20" ht="13" x14ac:dyDescent="0.3">
      <c r="B38" s="2"/>
      <c r="C38" s="24" t="s">
        <v>215</v>
      </c>
      <c r="D38" s="22" t="s">
        <v>216</v>
      </c>
      <c r="E38" s="43">
        <v>239.71538869801327</v>
      </c>
      <c r="F38" s="15"/>
      <c r="G38" s="34">
        <f>+E38*E19</f>
        <v>17626734.200692397</v>
      </c>
      <c r="H38" s="3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2:20" ht="13" x14ac:dyDescent="0.3">
      <c r="B39" s="2"/>
      <c r="C39" s="24" t="s">
        <v>31</v>
      </c>
      <c r="D39" s="3" t="s">
        <v>32</v>
      </c>
      <c r="E39" s="43">
        <v>14.593054013829949</v>
      </c>
      <c r="F39" s="15"/>
      <c r="G39" s="34"/>
      <c r="H39" s="3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2:20" ht="13" x14ac:dyDescent="0.3">
      <c r="B40" s="2"/>
      <c r="C40" s="24" t="s">
        <v>33</v>
      </c>
      <c r="D40" s="3" t="s">
        <v>34</v>
      </c>
      <c r="E40" s="48">
        <v>1.5488840367719656</v>
      </c>
      <c r="F40" s="15"/>
      <c r="G40" s="34"/>
      <c r="H40" s="3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2:20" ht="13" x14ac:dyDescent="0.3">
      <c r="B41" s="2"/>
      <c r="C41" s="24" t="s">
        <v>35</v>
      </c>
      <c r="D41" s="3" t="s">
        <v>32</v>
      </c>
      <c r="E41" s="43">
        <v>34.797487538644887</v>
      </c>
      <c r="F41" s="15"/>
      <c r="G41" s="34"/>
      <c r="H41" s="3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2:20" ht="13" x14ac:dyDescent="0.3">
      <c r="B42" s="2"/>
      <c r="C42" s="24" t="s">
        <v>36</v>
      </c>
      <c r="D42" s="3" t="s">
        <v>32</v>
      </c>
      <c r="E42" s="43">
        <v>4.0864981185504865</v>
      </c>
      <c r="F42" s="15"/>
      <c r="G42" s="34"/>
      <c r="H42" s="3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2:20" ht="13" x14ac:dyDescent="0.3">
      <c r="B43" s="2"/>
      <c r="C43" s="24" t="s">
        <v>37</v>
      </c>
      <c r="D43" s="3" t="s">
        <v>32</v>
      </c>
      <c r="E43" s="45">
        <v>0.30455884119407506</v>
      </c>
      <c r="F43" s="15"/>
      <c r="G43" s="34"/>
      <c r="H43" s="3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2:20" thickBot="1" x14ac:dyDescent="0.35">
      <c r="B44" s="2"/>
      <c r="C44" s="24"/>
      <c r="D44" s="3"/>
      <c r="E44" s="15"/>
      <c r="F44" s="15"/>
      <c r="G44" s="3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2:20" thickTop="1" x14ac:dyDescent="0.3">
      <c r="B45" s="2"/>
      <c r="C45" s="42" t="s">
        <v>38</v>
      </c>
      <c r="D45" s="3" t="s">
        <v>25</v>
      </c>
      <c r="E45" s="33">
        <v>0.98684612494664881</v>
      </c>
      <c r="F45" s="15"/>
      <c r="G45" s="3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2:20" ht="13" x14ac:dyDescent="0.3">
      <c r="B46" s="2"/>
      <c r="C46" s="49" t="s">
        <v>39</v>
      </c>
      <c r="D46" s="3" t="s">
        <v>25</v>
      </c>
      <c r="E46" s="45">
        <v>0</v>
      </c>
      <c r="F46" s="15"/>
      <c r="G46" s="3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2:20" ht="9.75" customHeight="1" thickBot="1" x14ac:dyDescent="0.35">
      <c r="B47" s="2"/>
      <c r="C47" s="2"/>
      <c r="D47" s="3"/>
      <c r="E47" s="2"/>
      <c r="F47" s="2"/>
      <c r="G47" s="3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2:20" ht="15" thickTop="1" thickBot="1" x14ac:dyDescent="0.35">
      <c r="B48" s="2"/>
      <c r="C48" s="31" t="s">
        <v>40</v>
      </c>
      <c r="D48" s="3"/>
      <c r="E48" s="2"/>
      <c r="F48" s="2"/>
      <c r="G48" s="3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2:20" thickTop="1" x14ac:dyDescent="0.3">
      <c r="B49" s="2"/>
      <c r="C49" s="24" t="s">
        <v>18</v>
      </c>
      <c r="D49" s="3" t="s">
        <v>41</v>
      </c>
      <c r="E49" s="50">
        <f>+Billet!F10</f>
        <v>267.27</v>
      </c>
      <c r="F49" s="15"/>
      <c r="G49" s="3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2:20" ht="13" x14ac:dyDescent="0.3">
      <c r="B50" s="2"/>
      <c r="C50" s="24" t="s">
        <v>19</v>
      </c>
      <c r="D50" s="3" t="s">
        <v>41</v>
      </c>
      <c r="E50" s="51">
        <f>+Billet!F9</f>
        <v>248.87</v>
      </c>
      <c r="F50" s="15"/>
      <c r="G50" s="3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2:20" ht="13" x14ac:dyDescent="0.3">
      <c r="B51" s="2"/>
      <c r="C51" s="24" t="s">
        <v>20</v>
      </c>
      <c r="D51" s="3" t="s">
        <v>41</v>
      </c>
      <c r="E51" s="51">
        <f>+Billet!F8</f>
        <v>267.30002568409776</v>
      </c>
      <c r="F51" s="15"/>
      <c r="G51" s="3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2:20" ht="13" x14ac:dyDescent="0.3">
      <c r="B52" s="2"/>
      <c r="C52" s="24" t="s">
        <v>21</v>
      </c>
      <c r="D52" s="3" t="s">
        <v>41</v>
      </c>
      <c r="E52" s="51">
        <v>0</v>
      </c>
      <c r="F52" s="15"/>
      <c r="G52" s="3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2:20" ht="13" x14ac:dyDescent="0.3">
      <c r="B53" s="2"/>
      <c r="C53" s="24" t="s">
        <v>22</v>
      </c>
      <c r="D53" s="3" t="s">
        <v>41</v>
      </c>
      <c r="E53" s="51">
        <v>0</v>
      </c>
      <c r="F53" s="15"/>
      <c r="G53" s="3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2:20" ht="8.25" customHeight="1" x14ac:dyDescent="0.3">
      <c r="B54" s="2"/>
      <c r="C54" s="24"/>
      <c r="D54" s="3"/>
      <c r="E54" s="51"/>
      <c r="F54" s="15"/>
      <c r="G54" s="3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2:20" ht="13" x14ac:dyDescent="0.3">
      <c r="B55" s="2"/>
      <c r="C55" s="24" t="s">
        <v>42</v>
      </c>
      <c r="D55" s="3" t="s">
        <v>41</v>
      </c>
      <c r="E55" s="53">
        <v>352.50467887873486</v>
      </c>
      <c r="F55" s="15"/>
      <c r="G55" s="3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2:20" ht="10.5" customHeight="1" thickBot="1" x14ac:dyDescent="0.35">
      <c r="B56" s="2"/>
      <c r="C56" s="24"/>
      <c r="D56" s="3"/>
      <c r="E56" s="54"/>
      <c r="F56" s="2"/>
      <c r="G56" s="3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2:20" thickTop="1" x14ac:dyDescent="0.3">
      <c r="B57" s="2"/>
      <c r="C57" s="24" t="s">
        <v>24</v>
      </c>
      <c r="D57" s="3" t="s">
        <v>43</v>
      </c>
      <c r="E57" s="50">
        <v>70.364080653846017</v>
      </c>
      <c r="F57" s="15"/>
      <c r="G57" s="3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2:20" ht="13" x14ac:dyDescent="0.3">
      <c r="B58" s="2"/>
      <c r="C58" s="42" t="s">
        <v>26</v>
      </c>
      <c r="D58" s="3" t="s">
        <v>43</v>
      </c>
      <c r="E58" s="51">
        <v>1089.5369036583263</v>
      </c>
      <c r="F58" s="15"/>
      <c r="G58" s="3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2:20" ht="13" x14ac:dyDescent="0.3">
      <c r="B59" s="2"/>
      <c r="C59" s="24" t="s">
        <v>27</v>
      </c>
      <c r="D59" s="3" t="s">
        <v>43</v>
      </c>
      <c r="E59" s="51">
        <v>8489.9542340650332</v>
      </c>
      <c r="F59" s="15"/>
      <c r="G59" s="3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2:20" ht="13" x14ac:dyDescent="0.3">
      <c r="B60" s="2"/>
      <c r="C60" s="24" t="s">
        <v>28</v>
      </c>
      <c r="D60" s="3" t="s">
        <v>43</v>
      </c>
      <c r="E60" s="53">
        <v>233.463515754561</v>
      </c>
      <c r="F60" s="15"/>
      <c r="G60" s="3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2:20" ht="9" customHeight="1" thickBot="1" x14ac:dyDescent="0.35">
      <c r="B61" s="2"/>
      <c r="C61" s="55"/>
      <c r="D61" s="3"/>
      <c r="E61" s="56"/>
      <c r="F61" s="15"/>
      <c r="G61" s="3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2:20" thickTop="1" x14ac:dyDescent="0.3">
      <c r="B62" s="2"/>
      <c r="C62" s="24" t="s">
        <v>29</v>
      </c>
      <c r="D62" s="22" t="s">
        <v>44</v>
      </c>
      <c r="E62" s="57">
        <f>+Billet!F11</f>
        <v>7.0000000000000007E-2</v>
      </c>
      <c r="F62" s="15"/>
      <c r="G62" s="34"/>
      <c r="H62" s="34"/>
      <c r="I62" s="2"/>
      <c r="J62" s="34"/>
      <c r="K62" s="34"/>
      <c r="L62" s="2"/>
      <c r="M62" s="2"/>
      <c r="N62" s="2"/>
      <c r="O62" s="2"/>
      <c r="P62" s="2"/>
      <c r="Q62" s="2"/>
      <c r="R62" s="2"/>
      <c r="S62" s="2"/>
      <c r="T62" s="2"/>
    </row>
    <row r="63" spans="2:20" ht="13" x14ac:dyDescent="0.3">
      <c r="B63" s="2"/>
      <c r="C63" s="24" t="s">
        <v>31</v>
      </c>
      <c r="D63" s="22" t="s">
        <v>45</v>
      </c>
      <c r="E63" s="59">
        <v>0.25072464212651396</v>
      </c>
      <c r="F63" s="15"/>
      <c r="G63" s="34"/>
      <c r="H63" s="34"/>
      <c r="I63" s="2"/>
      <c r="J63" s="34"/>
      <c r="K63" s="34"/>
      <c r="L63" s="2"/>
      <c r="M63" s="2"/>
      <c r="N63" s="2"/>
      <c r="O63" s="2"/>
      <c r="P63" s="2"/>
      <c r="Q63" s="2"/>
      <c r="R63" s="2"/>
      <c r="S63" s="2"/>
      <c r="T63" s="2"/>
    </row>
    <row r="64" spans="2:20" ht="13" x14ac:dyDescent="0.3">
      <c r="B64" s="2"/>
      <c r="C64" s="24" t="s">
        <v>33</v>
      </c>
      <c r="D64" s="22" t="s">
        <v>46</v>
      </c>
      <c r="E64" s="59">
        <v>0.27163955106549381</v>
      </c>
      <c r="F64" s="15"/>
      <c r="G64" s="34"/>
      <c r="H64" s="34"/>
      <c r="I64" s="2"/>
      <c r="J64" s="34"/>
      <c r="K64" s="34"/>
      <c r="L64" s="2"/>
      <c r="M64" s="2"/>
      <c r="N64" s="2"/>
      <c r="O64" s="2"/>
      <c r="P64" s="2"/>
      <c r="Q64" s="2"/>
      <c r="R64" s="2"/>
      <c r="S64" s="2"/>
      <c r="T64" s="2"/>
    </row>
    <row r="65" spans="2:20" ht="13" x14ac:dyDescent="0.3">
      <c r="B65" s="2"/>
      <c r="C65" s="24" t="s">
        <v>35</v>
      </c>
      <c r="D65" s="22" t="s">
        <v>45</v>
      </c>
      <c r="E65" s="59">
        <v>0.12203581545283093</v>
      </c>
      <c r="F65" s="15"/>
      <c r="G65" s="34"/>
      <c r="H65" s="34"/>
      <c r="I65" s="2"/>
      <c r="J65" s="2"/>
      <c r="K65" s="34"/>
      <c r="L65" s="2"/>
      <c r="M65" s="2"/>
      <c r="N65" s="2"/>
      <c r="O65" s="2"/>
      <c r="P65" s="2"/>
      <c r="Q65" s="2"/>
      <c r="R65" s="2"/>
      <c r="S65" s="2"/>
      <c r="T65" s="2"/>
    </row>
    <row r="66" spans="2:20" ht="13" x14ac:dyDescent="0.3">
      <c r="B66" s="2"/>
      <c r="C66" s="24" t="s">
        <v>36</v>
      </c>
      <c r="D66" s="22" t="s">
        <v>45</v>
      </c>
      <c r="E66" s="59">
        <v>0.17166474630834158</v>
      </c>
      <c r="F66" s="15"/>
      <c r="G66" s="34"/>
      <c r="H66" s="34"/>
      <c r="I66" s="2"/>
      <c r="J66" s="2"/>
      <c r="K66" s="34"/>
      <c r="L66" s="2"/>
      <c r="M66" s="2"/>
      <c r="N66" s="2"/>
      <c r="O66" s="2"/>
      <c r="P66" s="2"/>
      <c r="Q66" s="2"/>
      <c r="R66" s="2"/>
      <c r="S66" s="2"/>
      <c r="T66" s="2"/>
    </row>
    <row r="67" spans="2:20" ht="13" x14ac:dyDescent="0.3">
      <c r="B67" s="2"/>
      <c r="C67" s="24" t="s">
        <v>37</v>
      </c>
      <c r="D67" s="22" t="s">
        <v>45</v>
      </c>
      <c r="E67" s="60">
        <v>1.9283673168637039</v>
      </c>
      <c r="F67" s="15"/>
      <c r="G67" s="34"/>
      <c r="H67" s="34"/>
      <c r="I67" s="2"/>
      <c r="J67" s="2"/>
      <c r="K67" s="34"/>
      <c r="L67" s="2"/>
      <c r="M67" s="2"/>
      <c r="N67" s="2"/>
      <c r="O67" s="2"/>
      <c r="P67" s="2"/>
      <c r="Q67" s="2"/>
      <c r="R67" s="2"/>
      <c r="S67" s="2"/>
      <c r="T67" s="2"/>
    </row>
    <row r="68" spans="2:20" thickBot="1" x14ac:dyDescent="0.35">
      <c r="B68" s="2"/>
      <c r="C68" s="24"/>
      <c r="D68" s="3"/>
      <c r="E68" s="56"/>
      <c r="F68" s="15"/>
      <c r="G68" s="3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2:20" thickTop="1" x14ac:dyDescent="0.3">
      <c r="B69" s="2"/>
      <c r="C69" s="42" t="s">
        <v>38</v>
      </c>
      <c r="D69" s="3" t="s">
        <v>41</v>
      </c>
      <c r="E69" s="50">
        <v>0</v>
      </c>
      <c r="F69" s="15"/>
      <c r="G69" s="3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2:20" ht="13" x14ac:dyDescent="0.3">
      <c r="B70" s="2"/>
      <c r="C70" s="49" t="s">
        <v>39</v>
      </c>
      <c r="D70" s="3" t="s">
        <v>41</v>
      </c>
      <c r="E70" s="53">
        <v>0</v>
      </c>
      <c r="F70" s="15"/>
      <c r="G70" s="3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2:20" ht="11.25" customHeight="1" thickBot="1" x14ac:dyDescent="0.35">
      <c r="B71" s="2"/>
      <c r="C71" s="2"/>
      <c r="D71" s="3"/>
      <c r="E71" s="2"/>
      <c r="F71" s="2"/>
      <c r="G71" s="3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2:20" ht="15" thickTop="1" thickBot="1" x14ac:dyDescent="0.35">
      <c r="B72" s="2"/>
      <c r="C72" s="31" t="s">
        <v>47</v>
      </c>
      <c r="D72" s="3"/>
      <c r="E72" s="2"/>
      <c r="F72" s="2"/>
      <c r="G72" s="3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2:20" thickTop="1" x14ac:dyDescent="0.3">
      <c r="B73" s="2"/>
      <c r="C73" s="24" t="s">
        <v>18</v>
      </c>
      <c r="D73" s="3" t="s">
        <v>41</v>
      </c>
      <c r="E73" s="58">
        <f>E24*E49/E$19</f>
        <v>18.982298443625993</v>
      </c>
      <c r="F73" s="63"/>
      <c r="G73" s="65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2:20" ht="13" x14ac:dyDescent="0.3">
      <c r="B74" s="2"/>
      <c r="C74" s="24" t="s">
        <v>19</v>
      </c>
      <c r="D74" s="3" t="s">
        <v>41</v>
      </c>
      <c r="E74" s="66">
        <f>E25*E50/E$19</f>
        <v>41.394558631341333</v>
      </c>
      <c r="F74" s="63"/>
      <c r="G74" s="6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2:20" ht="13" x14ac:dyDescent="0.3">
      <c r="B75" s="2"/>
      <c r="C75" s="24" t="s">
        <v>20</v>
      </c>
      <c r="D75" s="3" t="s">
        <v>41</v>
      </c>
      <c r="E75" s="67">
        <f>E26*E51/E$19</f>
        <v>254.05728947045048</v>
      </c>
      <c r="F75" s="63"/>
      <c r="G75" s="6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2:20" ht="13" x14ac:dyDescent="0.3">
      <c r="B76" s="2"/>
      <c r="C76" s="24" t="s">
        <v>21</v>
      </c>
      <c r="D76" s="3" t="s">
        <v>41</v>
      </c>
      <c r="E76" s="67">
        <f>E27*E52/E$19</f>
        <v>0</v>
      </c>
      <c r="F76" s="63"/>
      <c r="G76" s="6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2:20" ht="13" x14ac:dyDescent="0.3">
      <c r="B77" s="2"/>
      <c r="C77" s="24" t="s">
        <v>22</v>
      </c>
      <c r="D77" s="3" t="s">
        <v>41</v>
      </c>
      <c r="E77" s="67">
        <f>E28*E53/E$19</f>
        <v>0</v>
      </c>
      <c r="F77" s="63"/>
      <c r="G77" s="6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2:20" ht="8.25" customHeight="1" x14ac:dyDescent="0.3">
      <c r="B78" s="2"/>
      <c r="C78" s="24"/>
      <c r="D78" s="3"/>
      <c r="E78" s="67"/>
      <c r="F78" s="63"/>
      <c r="G78" s="6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2:20" ht="13" x14ac:dyDescent="0.3">
      <c r="B79" s="2"/>
      <c r="C79" s="24" t="s">
        <v>42</v>
      </c>
      <c r="D79" s="3" t="s">
        <v>41</v>
      </c>
      <c r="E79" s="37">
        <f>E30*E55/E$19</f>
        <v>-14.473838589261058</v>
      </c>
      <c r="F79" s="63"/>
      <c r="G79" s="233">
        <v>-6.9519286931042599</v>
      </c>
      <c r="H79" s="244">
        <f>G79/2</f>
        <v>-3.4759643465521299</v>
      </c>
      <c r="I79" s="69">
        <v>-3.4759643465521299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2:20" thickBot="1" x14ac:dyDescent="0.35">
      <c r="B80" s="2"/>
      <c r="C80" s="24"/>
      <c r="D80" s="3"/>
      <c r="E80" s="70"/>
      <c r="F80" s="63"/>
      <c r="G80" s="34">
        <f>G79+E79</f>
        <v>-21.425767282365317</v>
      </c>
      <c r="H80" s="2">
        <v>-17.953804048817606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2:20" thickTop="1" x14ac:dyDescent="0.3">
      <c r="B81" s="2"/>
      <c r="C81" s="24" t="s">
        <v>24</v>
      </c>
      <c r="D81" s="3" t="s">
        <v>41</v>
      </c>
      <c r="E81" s="64">
        <f>E57*E32/1000</f>
        <v>29.735972256016975</v>
      </c>
      <c r="F81" s="63"/>
      <c r="G81" s="234">
        <f>-3.47596434655213+E81</f>
        <v>26.260007909464846</v>
      </c>
      <c r="H81" s="234">
        <v>25.924881343209201</v>
      </c>
      <c r="I81" s="2"/>
      <c r="J81" s="34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2:20" ht="13" x14ac:dyDescent="0.3">
      <c r="B82" s="2"/>
      <c r="C82" s="24" t="s">
        <v>26</v>
      </c>
      <c r="D82" s="3" t="s">
        <v>41</v>
      </c>
      <c r="E82" s="71">
        <f>E58*E33/1000</f>
        <v>11.449504814673098</v>
      </c>
      <c r="F82" s="63"/>
      <c r="G82" s="234"/>
      <c r="H82" s="34"/>
      <c r="I82" s="2"/>
      <c r="J82" s="34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2:20" ht="13" x14ac:dyDescent="0.3">
      <c r="B83" s="2"/>
      <c r="C83" s="24" t="s">
        <v>27</v>
      </c>
      <c r="D83" s="3" t="s">
        <v>41</v>
      </c>
      <c r="E83" s="66">
        <f>E59*E34/1000</f>
        <v>21.908850860773693</v>
      </c>
      <c r="F83" s="63"/>
      <c r="G83" s="234">
        <f>E83+H79</f>
        <v>18.432886514221565</v>
      </c>
      <c r="H83" s="2">
        <v>21.9088508607737</v>
      </c>
      <c r="I83" s="2"/>
      <c r="J83" s="34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2:20" ht="13" x14ac:dyDescent="0.3">
      <c r="B84" s="2"/>
      <c r="C84" s="24" t="s">
        <v>28</v>
      </c>
      <c r="D84" s="3" t="s">
        <v>41</v>
      </c>
      <c r="E84" s="68">
        <f>E60*E35/1000</f>
        <v>0.29982753024503628</v>
      </c>
      <c r="F84" s="63"/>
      <c r="G84" s="234"/>
      <c r="H84" s="2"/>
      <c r="I84" s="2"/>
      <c r="J84" s="34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2:20" ht="14.5" thickBot="1" x14ac:dyDescent="0.35">
      <c r="B85" s="2"/>
      <c r="C85" s="55"/>
      <c r="D85" s="3"/>
      <c r="E85" s="63"/>
      <c r="F85" s="63"/>
      <c r="G85" s="3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2:20" thickTop="1" x14ac:dyDescent="0.3">
      <c r="B86" s="2"/>
      <c r="C86" s="24" t="s">
        <v>214</v>
      </c>
      <c r="D86" s="22" t="s">
        <v>44</v>
      </c>
      <c r="E86" s="58">
        <f>E62*E37</f>
        <v>49.587300000000006</v>
      </c>
      <c r="F86" s="63"/>
      <c r="G86" s="234"/>
      <c r="H86" s="34"/>
      <c r="I86" s="2"/>
      <c r="J86" s="34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2:20" ht="13" x14ac:dyDescent="0.3">
      <c r="B87" s="2"/>
      <c r="C87" s="24" t="s">
        <v>215</v>
      </c>
      <c r="D87" s="22" t="s">
        <v>44</v>
      </c>
      <c r="E87" s="37">
        <f t="shared" ref="E87:E92" si="0">E62*E38</f>
        <v>16.780077208860931</v>
      </c>
      <c r="F87" s="63"/>
      <c r="G87" s="234"/>
      <c r="H87" s="2"/>
      <c r="I87" s="2"/>
      <c r="J87" s="34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2:20" ht="13" x14ac:dyDescent="0.3">
      <c r="B88" s="2"/>
      <c r="C88" s="24" t="s">
        <v>31</v>
      </c>
      <c r="D88" s="22" t="s">
        <v>45</v>
      </c>
      <c r="E88" s="37">
        <f t="shared" si="0"/>
        <v>3.658838245150402</v>
      </c>
      <c r="F88" s="63"/>
      <c r="G88" s="234"/>
      <c r="H88" s="34"/>
      <c r="I88" s="2"/>
      <c r="J88" s="34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2:20" ht="13" x14ac:dyDescent="0.3">
      <c r="B89" s="2"/>
      <c r="C89" s="24" t="s">
        <v>33</v>
      </c>
      <c r="D89" s="22" t="s">
        <v>46</v>
      </c>
      <c r="E89" s="37">
        <f t="shared" si="0"/>
        <v>0.42073816440124656</v>
      </c>
      <c r="F89" s="63"/>
      <c r="G89" s="234"/>
      <c r="H89" s="34"/>
      <c r="I89" s="2"/>
      <c r="J89" s="34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2:20" ht="13" x14ac:dyDescent="0.3">
      <c r="B90" s="2"/>
      <c r="C90" s="24" t="s">
        <v>35</v>
      </c>
      <c r="D90" s="22" t="s">
        <v>45</v>
      </c>
      <c r="E90" s="37">
        <f t="shared" si="0"/>
        <v>4.2465397674882519</v>
      </c>
      <c r="F90" s="63"/>
      <c r="G90" s="234"/>
      <c r="H90" s="34"/>
      <c r="I90" s="2"/>
      <c r="J90" s="34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2:20" ht="13" x14ac:dyDescent="0.3">
      <c r="B91" s="2"/>
      <c r="C91" s="24" t="s">
        <v>36</v>
      </c>
      <c r="D91" s="22" t="s">
        <v>45</v>
      </c>
      <c r="E91" s="37">
        <f t="shared" si="0"/>
        <v>0.70150766281048449</v>
      </c>
      <c r="F91" s="63"/>
      <c r="G91" s="234"/>
      <c r="H91" s="34"/>
      <c r="I91" s="2"/>
      <c r="J91" s="34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2:20" ht="13" x14ac:dyDescent="0.3">
      <c r="B92" s="2"/>
      <c r="C92" s="24" t="s">
        <v>37</v>
      </c>
      <c r="D92" s="22" t="s">
        <v>45</v>
      </c>
      <c r="E92" s="61">
        <f t="shared" si="0"/>
        <v>0.58730131542053743</v>
      </c>
      <c r="F92" s="63"/>
      <c r="G92" s="234"/>
      <c r="H92" s="34"/>
      <c r="I92" s="2"/>
      <c r="J92" s="34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2:20" thickBot="1" x14ac:dyDescent="0.35">
      <c r="B93" s="2"/>
      <c r="C93" s="24"/>
      <c r="D93" s="3"/>
      <c r="E93" s="63"/>
      <c r="F93" s="63"/>
      <c r="G93" s="6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2:20" thickTop="1" x14ac:dyDescent="0.3">
      <c r="B94" s="2"/>
      <c r="C94" s="24" t="s">
        <v>38</v>
      </c>
      <c r="D94" s="3" t="s">
        <v>41</v>
      </c>
      <c r="E94" s="74">
        <f>E69*E45</f>
        <v>0</v>
      </c>
      <c r="F94" s="63"/>
      <c r="G94" s="73">
        <f>SUM(E81:E84)+SUM(E86:E92)+SUM(E94:E95)</f>
        <v>139.37645782584067</v>
      </c>
      <c r="H94" s="2">
        <f>G94*E19</f>
        <v>10248619.370135866</v>
      </c>
      <c r="I94" s="2"/>
      <c r="J94" s="34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2:20" thickBot="1" x14ac:dyDescent="0.35">
      <c r="B95" s="2"/>
      <c r="C95" s="29" t="s">
        <v>39</v>
      </c>
      <c r="D95" s="3" t="s">
        <v>41</v>
      </c>
      <c r="E95" s="72">
        <f>E70*E46</f>
        <v>0</v>
      </c>
      <c r="F95" s="63"/>
      <c r="G95" s="62"/>
      <c r="H95" s="62"/>
      <c r="I95" s="2"/>
      <c r="J95" s="62"/>
      <c r="K95" s="2"/>
      <c r="N95" s="2"/>
      <c r="O95" s="2"/>
      <c r="P95" s="2"/>
      <c r="Q95" s="2"/>
      <c r="R95" s="2"/>
      <c r="S95" s="2"/>
      <c r="T95" s="2"/>
    </row>
    <row r="96" spans="2:20" ht="13" hidden="1" x14ac:dyDescent="0.3">
      <c r="B96" s="2"/>
      <c r="C96" s="75" t="s">
        <v>48</v>
      </c>
      <c r="D96" s="76" t="s">
        <v>41</v>
      </c>
      <c r="E96" s="77">
        <f>((1/E20)-1)*$D$24*E49</f>
        <v>3.0048978436259932</v>
      </c>
      <c r="F96" s="77"/>
      <c r="G96" s="3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2:20" ht="13" hidden="1" x14ac:dyDescent="0.3">
      <c r="B97" s="2"/>
      <c r="C97" s="75" t="s">
        <v>49</v>
      </c>
      <c r="D97" s="76" t="s">
        <v>41</v>
      </c>
      <c r="E97" s="77">
        <f>((1/E20)-1)*$D$25*E50</f>
        <v>6.5527586313413311</v>
      </c>
      <c r="F97" s="77"/>
      <c r="G97" s="3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2:20" ht="13" hidden="1" x14ac:dyDescent="0.3">
      <c r="B98" s="2"/>
      <c r="C98" s="75" t="s">
        <v>50</v>
      </c>
      <c r="D98" s="76" t="s">
        <v>41</v>
      </c>
      <c r="E98" s="77">
        <f>((1/E20)-1)*$D$26*E51</f>
        <v>40.217268923172306</v>
      </c>
      <c r="F98" s="77"/>
      <c r="G98" s="3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2:20" hidden="1" thickBot="1" x14ac:dyDescent="0.35">
      <c r="B99" s="2"/>
      <c r="C99" s="78" t="s">
        <v>51</v>
      </c>
      <c r="D99" s="79" t="s">
        <v>41</v>
      </c>
      <c r="E99" s="80">
        <f>SUM(E79:E98)</f>
        <v>174.67754463471923</v>
      </c>
      <c r="F99" s="80"/>
      <c r="G99" s="3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2:20" ht="14.5" thickTop="1" x14ac:dyDescent="0.3">
      <c r="B100" s="2"/>
      <c r="C100" s="9" t="s">
        <v>52</v>
      </c>
      <c r="D100" s="3" t="s">
        <v>41</v>
      </c>
      <c r="E100" s="81">
        <f>SUM(E73:E79)+SUM(E81:E84)+SUM(E86:E92)+SUM(E94:E95)</f>
        <v>439.33676578199743</v>
      </c>
      <c r="F100" s="6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2:20" thickBot="1" x14ac:dyDescent="0.35">
      <c r="B101" s="2"/>
      <c r="C101" s="2"/>
      <c r="D101" s="22"/>
      <c r="E101" s="83"/>
      <c r="F101" s="2"/>
      <c r="G101" s="3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2:20" thickBot="1" x14ac:dyDescent="0.35">
      <c r="B102" s="2"/>
      <c r="C102" s="7" t="s">
        <v>206</v>
      </c>
      <c r="D102" s="3"/>
      <c r="E102" s="2"/>
      <c r="F102" s="2"/>
      <c r="G102" s="3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2:20" ht="14" thickTop="1" thickBot="1" x14ac:dyDescent="0.35">
      <c r="B103" s="2"/>
      <c r="C103" s="2"/>
      <c r="D103" s="3"/>
      <c r="E103" s="2"/>
      <c r="F103" s="2"/>
      <c r="G103" s="3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2:20" ht="14.5" thickTop="1" x14ac:dyDescent="0.3">
      <c r="B104" s="2"/>
      <c r="C104" s="21" t="s">
        <v>53</v>
      </c>
      <c r="D104" s="206">
        <f>E158/E104</f>
        <v>1</v>
      </c>
      <c r="E104" s="207">
        <f>+E158</f>
        <v>72098.05335255948</v>
      </c>
      <c r="F104" s="22"/>
      <c r="G104" s="3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2:20" ht="13" x14ac:dyDescent="0.3">
      <c r="B105" s="2"/>
      <c r="C105" s="24" t="s">
        <v>15</v>
      </c>
      <c r="D105" s="22" t="s">
        <v>5</v>
      </c>
      <c r="E105" s="25">
        <f>+Billet!F18%</f>
        <v>0.98049999999999993</v>
      </c>
      <c r="F105" s="26"/>
      <c r="G105" s="3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2:20" ht="13" x14ac:dyDescent="0.3">
      <c r="B106" s="2"/>
      <c r="C106" s="29" t="s">
        <v>54</v>
      </c>
      <c r="D106" s="22" t="s">
        <v>14</v>
      </c>
      <c r="E106" s="30">
        <f>E104/E105</f>
        <v>73531.925907760815</v>
      </c>
      <c r="F106" s="22"/>
      <c r="G106" s="3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2:20" ht="24" customHeight="1" thickBot="1" x14ac:dyDescent="0.35">
      <c r="B107" s="2"/>
      <c r="C107" s="2"/>
      <c r="D107" s="3"/>
      <c r="E107" s="2"/>
      <c r="F107" s="2"/>
      <c r="G107" s="3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2:20" ht="14.5" thickTop="1" x14ac:dyDescent="0.3">
      <c r="B108" s="2"/>
      <c r="C108" s="31" t="s">
        <v>17</v>
      </c>
      <c r="D108" s="3"/>
      <c r="E108" s="2"/>
      <c r="F108" s="2"/>
      <c r="G108" s="3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2:20" ht="13" x14ac:dyDescent="0.3">
      <c r="B109" s="2"/>
      <c r="C109" s="24" t="s">
        <v>56</v>
      </c>
      <c r="D109" s="208">
        <v>-2.6319847269065588E-3</v>
      </c>
      <c r="E109" s="39">
        <f>+D109*E106</f>
        <v>-193.53490592925115</v>
      </c>
      <c r="F109" s="34"/>
      <c r="G109" s="3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2:20" thickBot="1" x14ac:dyDescent="0.35">
      <c r="B110" s="2"/>
      <c r="C110" s="24"/>
      <c r="D110" s="3"/>
      <c r="E110" s="209"/>
      <c r="F110" s="34"/>
      <c r="G110" s="3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2:20" thickTop="1" x14ac:dyDescent="0.3">
      <c r="B111" s="2"/>
      <c r="C111" s="24" t="s">
        <v>24</v>
      </c>
      <c r="D111" s="3" t="s">
        <v>25</v>
      </c>
      <c r="E111" s="50">
        <v>3.0214385742401151E-3</v>
      </c>
      <c r="F111" s="56"/>
      <c r="G111" s="3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2:20" ht="13" x14ac:dyDescent="0.3">
      <c r="B112" s="2"/>
      <c r="C112" s="42" t="s">
        <v>26</v>
      </c>
      <c r="D112" s="22" t="s">
        <v>25</v>
      </c>
      <c r="E112" s="53">
        <v>1.8375495925978551</v>
      </c>
      <c r="F112" s="210"/>
      <c r="G112" s="34"/>
      <c r="H112" s="2"/>
      <c r="I112" s="3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2:20" thickBot="1" x14ac:dyDescent="0.35">
      <c r="B113" s="2"/>
      <c r="C113" s="24"/>
      <c r="D113" s="3"/>
      <c r="E113" s="56"/>
      <c r="F113" s="56"/>
      <c r="G113" s="3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2:20" thickTop="1" x14ac:dyDescent="0.3">
      <c r="B114" s="2"/>
      <c r="C114" s="24" t="s">
        <v>29</v>
      </c>
      <c r="D114" s="3" t="s">
        <v>30</v>
      </c>
      <c r="E114" s="50">
        <v>5.3838798137343549</v>
      </c>
      <c r="F114" s="56"/>
      <c r="G114" s="34">
        <f>E114*E104</f>
        <v>388167.25405438751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2:20" ht="13" x14ac:dyDescent="0.3">
      <c r="B115" s="2"/>
      <c r="C115" s="24" t="s">
        <v>31</v>
      </c>
      <c r="D115" s="3" t="s">
        <v>32</v>
      </c>
      <c r="E115" s="51">
        <v>6.7045074511265046</v>
      </c>
      <c r="F115" s="56"/>
      <c r="G115" s="34">
        <f>G114+G37+G38</f>
        <v>70104182.448545471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2:20" ht="13" x14ac:dyDescent="0.3">
      <c r="B116" s="2"/>
      <c r="C116" s="24" t="s">
        <v>33</v>
      </c>
      <c r="D116" s="3" t="s">
        <v>34</v>
      </c>
      <c r="E116" s="51">
        <v>0.49838629282090652</v>
      </c>
      <c r="F116" s="56"/>
      <c r="G116" s="34">
        <f>G115/E104</f>
        <v>972.34501056132569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2:20" ht="13" x14ac:dyDescent="0.3">
      <c r="B117" s="2"/>
      <c r="C117" s="24" t="s">
        <v>35</v>
      </c>
      <c r="D117" s="3" t="s">
        <v>32</v>
      </c>
      <c r="E117" s="51">
        <v>3.4813015252394575</v>
      </c>
      <c r="F117" s="56"/>
      <c r="G117" s="3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2:20" ht="13" x14ac:dyDescent="0.3">
      <c r="B118" s="2"/>
      <c r="C118" s="24" t="s">
        <v>36</v>
      </c>
      <c r="D118" s="3" t="s">
        <v>32</v>
      </c>
      <c r="E118" s="51">
        <v>0</v>
      </c>
      <c r="F118" s="56"/>
      <c r="G118" s="3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2:20" ht="13" x14ac:dyDescent="0.3">
      <c r="B119" s="2"/>
      <c r="C119" s="29" t="s">
        <v>37</v>
      </c>
      <c r="D119" s="22" t="s">
        <v>32</v>
      </c>
      <c r="E119" s="53">
        <v>7.1219623535659794E-4</v>
      </c>
      <c r="F119" s="210"/>
      <c r="G119" s="3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2:20" ht="9" customHeight="1" thickBot="1" x14ac:dyDescent="0.35">
      <c r="B120" s="2"/>
      <c r="C120" s="2"/>
      <c r="D120" s="3"/>
      <c r="E120" s="34"/>
      <c r="F120" s="34"/>
      <c r="G120" s="3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2:20" ht="15" thickTop="1" thickBot="1" x14ac:dyDescent="0.35">
      <c r="B121" s="2"/>
      <c r="C121" s="31" t="s">
        <v>40</v>
      </c>
      <c r="D121" s="3"/>
      <c r="E121" s="34"/>
      <c r="F121" s="34"/>
      <c r="G121" s="3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2:20" thickTop="1" x14ac:dyDescent="0.3">
      <c r="B122" s="2"/>
      <c r="C122" s="24" t="s">
        <v>57</v>
      </c>
      <c r="D122" s="3" t="s">
        <v>41</v>
      </c>
      <c r="E122" s="23">
        <f>+E100</f>
        <v>439.33676578199743</v>
      </c>
      <c r="F122" s="34"/>
      <c r="G122" s="3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2:20" ht="8.25" customHeight="1" x14ac:dyDescent="0.3">
      <c r="B123" s="2"/>
      <c r="C123" s="24"/>
      <c r="D123" s="3"/>
      <c r="E123" s="19"/>
      <c r="F123" s="34"/>
      <c r="G123" s="3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2:20" ht="13" x14ac:dyDescent="0.3">
      <c r="B124" s="2"/>
      <c r="C124" s="24" t="s">
        <v>56</v>
      </c>
      <c r="D124" s="3" t="s">
        <v>41</v>
      </c>
      <c r="E124" s="39">
        <v>350.28906472110947</v>
      </c>
      <c r="F124" s="40"/>
      <c r="G124" s="3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2:20" ht="10.5" customHeight="1" thickBot="1" x14ac:dyDescent="0.35">
      <c r="B125" s="2"/>
      <c r="C125" s="24"/>
      <c r="D125" s="3"/>
      <c r="E125" s="211"/>
      <c r="F125" s="40"/>
      <c r="G125" s="3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2:20" thickTop="1" x14ac:dyDescent="0.3">
      <c r="B126" s="2"/>
      <c r="C126" s="24" t="s">
        <v>24</v>
      </c>
      <c r="D126" s="3" t="s">
        <v>43</v>
      </c>
      <c r="E126" s="84">
        <v>559.92857142856997</v>
      </c>
      <c r="F126" s="85"/>
      <c r="G126" s="3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2:20" ht="13" x14ac:dyDescent="0.3">
      <c r="B127" s="2"/>
      <c r="C127" s="42" t="s">
        <v>26</v>
      </c>
      <c r="D127" s="3" t="s">
        <v>43</v>
      </c>
      <c r="E127" s="86">
        <v>795.97151131650912</v>
      </c>
      <c r="F127" s="85"/>
      <c r="G127" s="3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2:20" ht="9" customHeight="1" thickBot="1" x14ac:dyDescent="0.35">
      <c r="B128" s="2"/>
      <c r="C128" s="55"/>
      <c r="D128" s="3"/>
      <c r="E128" s="85"/>
      <c r="F128" s="85"/>
      <c r="G128" s="3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2:20" thickTop="1" x14ac:dyDescent="0.3">
      <c r="B129" s="2"/>
      <c r="C129" s="24" t="s">
        <v>29</v>
      </c>
      <c r="D129" s="22" t="s">
        <v>44</v>
      </c>
      <c r="E129" s="57">
        <f>+E62</f>
        <v>7.0000000000000007E-2</v>
      </c>
      <c r="F129" s="212"/>
      <c r="G129" s="3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2:20" ht="13" x14ac:dyDescent="0.3">
      <c r="B130" s="2"/>
      <c r="C130" s="24" t="s">
        <v>31</v>
      </c>
      <c r="D130" s="22" t="s">
        <v>45</v>
      </c>
      <c r="E130" s="59">
        <v>0.25072464212651396</v>
      </c>
      <c r="F130" s="212"/>
      <c r="G130" s="3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2:20" ht="13" x14ac:dyDescent="0.3">
      <c r="B131" s="2"/>
      <c r="C131" s="24" t="s">
        <v>33</v>
      </c>
      <c r="D131" s="22" t="s">
        <v>46</v>
      </c>
      <c r="E131" s="213">
        <v>0.27163955106549381</v>
      </c>
      <c r="F131" s="85"/>
      <c r="G131" s="3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2:20" ht="13" x14ac:dyDescent="0.3">
      <c r="B132" s="2"/>
      <c r="C132" s="24" t="s">
        <v>35</v>
      </c>
      <c r="D132" s="22" t="s">
        <v>45</v>
      </c>
      <c r="E132" s="213">
        <v>0.17166474630834158</v>
      </c>
      <c r="F132" s="85"/>
      <c r="G132" s="3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2:20" ht="13" x14ac:dyDescent="0.3">
      <c r="B133" s="2"/>
      <c r="C133" s="24" t="s">
        <v>36</v>
      </c>
      <c r="D133" s="22" t="s">
        <v>45</v>
      </c>
      <c r="E133" s="213">
        <v>0</v>
      </c>
      <c r="F133" s="85"/>
      <c r="G133" s="3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2:20" ht="13" x14ac:dyDescent="0.3">
      <c r="B134" s="2"/>
      <c r="C134" s="24" t="s">
        <v>37</v>
      </c>
      <c r="D134" s="3" t="s">
        <v>45</v>
      </c>
      <c r="E134" s="86">
        <v>1.9283673168637039</v>
      </c>
      <c r="F134" s="85"/>
      <c r="G134" s="3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2:20" ht="15" customHeight="1" thickBot="1" x14ac:dyDescent="0.35">
      <c r="B135" s="2"/>
      <c r="C135" s="2"/>
      <c r="D135" s="3"/>
      <c r="E135" s="34"/>
      <c r="F135" s="34"/>
      <c r="G135" s="3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2:20" ht="15" thickTop="1" thickBot="1" x14ac:dyDescent="0.35">
      <c r="B136" s="2"/>
      <c r="C136" s="31" t="s">
        <v>47</v>
      </c>
      <c r="D136" s="3"/>
      <c r="E136" s="34"/>
      <c r="F136" s="34"/>
      <c r="G136" s="3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2:20" thickTop="1" x14ac:dyDescent="0.3">
      <c r="B137" s="2"/>
      <c r="C137" s="24" t="s">
        <v>57</v>
      </c>
      <c r="D137" s="3" t="s">
        <v>41</v>
      </c>
      <c r="E137" s="214">
        <f>E122*E106/E104</f>
        <v>448.07421293421459</v>
      </c>
      <c r="F137" s="34"/>
      <c r="G137" s="3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2:20" ht="8.25" customHeight="1" x14ac:dyDescent="0.3">
      <c r="B138" s="2"/>
      <c r="C138" s="24"/>
      <c r="D138" s="3"/>
      <c r="E138" s="19"/>
      <c r="F138" s="34"/>
      <c r="G138" s="3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2:20" ht="13" x14ac:dyDescent="0.3">
      <c r="B139" s="2"/>
      <c r="C139" s="24" t="s">
        <v>56</v>
      </c>
      <c r="D139" s="3" t="s">
        <v>41</v>
      </c>
      <c r="E139" s="216">
        <f>E109*E124/E$104</f>
        <v>-0.94029114568928418</v>
      </c>
      <c r="F139" s="215"/>
      <c r="G139" s="3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2:20" thickBot="1" x14ac:dyDescent="0.35">
      <c r="B140" s="2"/>
      <c r="C140" s="24"/>
      <c r="D140" s="3"/>
      <c r="E140" s="209"/>
      <c r="F140" s="34"/>
      <c r="G140" s="3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2:20" thickTop="1" x14ac:dyDescent="0.3">
      <c r="B141" s="2"/>
      <c r="C141" s="24" t="s">
        <v>24</v>
      </c>
      <c r="D141" s="3" t="s">
        <v>41</v>
      </c>
      <c r="E141" s="220">
        <f>E126*E111/1000</f>
        <v>1.691789784533443E-3</v>
      </c>
      <c r="F141" s="34"/>
      <c r="G141" s="3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2:20" ht="13" x14ac:dyDescent="0.3">
      <c r="B142" s="2"/>
      <c r="C142" s="24" t="s">
        <v>26</v>
      </c>
      <c r="D142" s="3" t="s">
        <v>41</v>
      </c>
      <c r="E142" s="217">
        <f>E127*E112/1000</f>
        <v>1.4626371263391504</v>
      </c>
      <c r="F142" s="34"/>
      <c r="G142" s="3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2:20" ht="14.5" thickBot="1" x14ac:dyDescent="0.35">
      <c r="B143" s="2"/>
      <c r="C143" s="55"/>
      <c r="D143" s="3"/>
      <c r="E143" s="34"/>
      <c r="F143" s="34"/>
      <c r="G143" s="3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2:20" thickTop="1" x14ac:dyDescent="0.3">
      <c r="B144" s="2"/>
      <c r="C144" s="24" t="s">
        <v>29</v>
      </c>
      <c r="D144" s="22" t="s">
        <v>44</v>
      </c>
      <c r="E144" s="58">
        <f t="shared" ref="E144:E149" si="1">E129*E114</f>
        <v>0.37687158696140488</v>
      </c>
      <c r="F144" s="34"/>
      <c r="G144" s="3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2:20" ht="13" x14ac:dyDescent="0.3">
      <c r="B145" s="2"/>
      <c r="C145" s="24" t="s">
        <v>31</v>
      </c>
      <c r="D145" s="22" t="s">
        <v>45</v>
      </c>
      <c r="E145" s="37">
        <f t="shared" si="1"/>
        <v>1.6809852313182392</v>
      </c>
      <c r="F145" s="34"/>
      <c r="G145" s="3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2:20" ht="13" x14ac:dyDescent="0.3">
      <c r="B146" s="2"/>
      <c r="C146" s="24" t="s">
        <v>33</v>
      </c>
      <c r="D146" s="22" t="s">
        <v>46</v>
      </c>
      <c r="E146" s="37">
        <f t="shared" si="1"/>
        <v>0.13538142883906679</v>
      </c>
      <c r="F146" s="34"/>
      <c r="G146" s="3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2:20" ht="13" x14ac:dyDescent="0.3">
      <c r="B147" s="2"/>
      <c r="C147" s="24" t="s">
        <v>35</v>
      </c>
      <c r="D147" s="22" t="s">
        <v>45</v>
      </c>
      <c r="E147" s="37">
        <f t="shared" si="1"/>
        <v>0.59761674315307411</v>
      </c>
      <c r="F147" s="34"/>
      <c r="G147" s="3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2:20" ht="13" x14ac:dyDescent="0.3">
      <c r="B148" s="2"/>
      <c r="C148" s="24" t="s">
        <v>36</v>
      </c>
      <c r="D148" s="22" t="s">
        <v>45</v>
      </c>
      <c r="E148" s="37">
        <f t="shared" si="1"/>
        <v>0</v>
      </c>
      <c r="F148" s="34"/>
      <c r="G148" s="3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2:20" thickBot="1" x14ac:dyDescent="0.35">
      <c r="B149" s="2"/>
      <c r="C149" s="24" t="s">
        <v>37</v>
      </c>
      <c r="D149" s="22" t="s">
        <v>45</v>
      </c>
      <c r="E149" s="61">
        <f t="shared" si="1"/>
        <v>1.3733759434550337E-3</v>
      </c>
      <c r="F149" s="34"/>
      <c r="G149" s="236">
        <f>H94/E104</f>
        <v>142.14835066378447</v>
      </c>
      <c r="H149" s="62">
        <f>G149+SUM(E141:E149)</f>
        <v>146.40490794612339</v>
      </c>
      <c r="I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2:20" ht="13" hidden="1" x14ac:dyDescent="0.3">
      <c r="B150" s="2"/>
      <c r="C150" s="75" t="s">
        <v>58</v>
      </c>
      <c r="D150" s="76" t="s">
        <v>41</v>
      </c>
      <c r="E150" s="218">
        <f>((1/E105)-1)*E122</f>
        <v>8.7374471522171806</v>
      </c>
      <c r="F150" s="218"/>
      <c r="G150" s="3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2:20" hidden="1" thickBot="1" x14ac:dyDescent="0.35">
      <c r="B151" s="2"/>
      <c r="C151" s="78" t="s">
        <v>59</v>
      </c>
      <c r="D151" s="79" t="s">
        <v>41</v>
      </c>
      <c r="E151" s="219">
        <f>SUM(E139:E150)</f>
        <v>12.05371328886682</v>
      </c>
      <c r="F151" s="219"/>
      <c r="G151" s="3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2:20" ht="14.5" thickTop="1" x14ac:dyDescent="0.3">
      <c r="B152" s="2"/>
      <c r="C152" s="9" t="s">
        <v>207</v>
      </c>
      <c r="D152" s="3" t="s">
        <v>41</v>
      </c>
      <c r="E152" s="82">
        <f>SUM(E137:E139)+SUM(E141:E142)+SUM(E144:E149)</f>
        <v>451.39047907086422</v>
      </c>
      <c r="F152" s="62"/>
      <c r="G152" s="3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2:20" thickBot="1" x14ac:dyDescent="0.35">
      <c r="B153" s="2"/>
      <c r="C153" s="2"/>
      <c r="D153" s="22"/>
      <c r="E153" s="83"/>
      <c r="F153" s="2"/>
      <c r="G153" s="3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2:20" thickBot="1" x14ac:dyDescent="0.35">
      <c r="B154" s="2"/>
      <c r="C154" s="7" t="s">
        <v>60</v>
      </c>
      <c r="D154" s="3"/>
      <c r="E154" s="2"/>
      <c r="F154" s="2"/>
      <c r="G154" s="3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2:20" ht="14" thickTop="1" thickBot="1" x14ac:dyDescent="0.35">
      <c r="B155" s="2"/>
      <c r="C155" s="2"/>
      <c r="D155" s="3"/>
      <c r="E155" s="2"/>
      <c r="F155" s="2"/>
      <c r="G155" s="3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2:20" ht="14.5" thickTop="1" x14ac:dyDescent="0.3">
      <c r="B156" s="2"/>
      <c r="C156" s="21" t="s">
        <v>61</v>
      </c>
      <c r="D156" s="22" t="s">
        <v>14</v>
      </c>
      <c r="E156" s="23">
        <f>E10</f>
        <v>70000</v>
      </c>
      <c r="F156" s="13"/>
      <c r="G156" s="3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2:20" ht="13" x14ac:dyDescent="0.3">
      <c r="B157" s="2"/>
      <c r="C157" s="24" t="s">
        <v>15</v>
      </c>
      <c r="D157" s="22" t="s">
        <v>5</v>
      </c>
      <c r="E157" s="25">
        <f>+Rebar!F6%</f>
        <v>0.97089999999999999</v>
      </c>
      <c r="F157" s="26"/>
      <c r="G157" s="3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2:20" ht="13" x14ac:dyDescent="0.3">
      <c r="B158" s="2"/>
      <c r="C158" s="24" t="s">
        <v>53</v>
      </c>
      <c r="D158" s="16">
        <v>1</v>
      </c>
      <c r="E158" s="43">
        <f>E156/E157*D158</f>
        <v>72098.05335255948</v>
      </c>
      <c r="F158" s="83"/>
      <c r="G158" s="34"/>
      <c r="H158" s="1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2:20" ht="13" x14ac:dyDescent="0.3">
      <c r="B159" s="2"/>
      <c r="C159" s="24" t="s">
        <v>136</v>
      </c>
      <c r="D159" s="16">
        <v>0</v>
      </c>
      <c r="E159" s="43">
        <f>E156/E157*D159</f>
        <v>0</v>
      </c>
      <c r="F159" s="83"/>
      <c r="G159" s="34"/>
      <c r="H159" s="1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2:20" ht="13" x14ac:dyDescent="0.3">
      <c r="B160" s="2"/>
      <c r="C160" s="29" t="s">
        <v>62</v>
      </c>
      <c r="D160" s="16">
        <v>0</v>
      </c>
      <c r="E160" s="43">
        <f>E156/E157*D160</f>
        <v>0</v>
      </c>
      <c r="F160" s="22"/>
      <c r="G160" s="34"/>
      <c r="H160" s="1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2:20" ht="13.5" customHeight="1" thickBot="1" x14ac:dyDescent="0.35">
      <c r="B161" s="2"/>
      <c r="C161" s="2"/>
      <c r="D161" s="3"/>
      <c r="E161" s="34"/>
      <c r="F161" s="2"/>
      <c r="G161" s="3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2:20" ht="15" thickTop="1" thickBot="1" x14ac:dyDescent="0.35">
      <c r="B162" s="2"/>
      <c r="C162" s="31" t="s">
        <v>17</v>
      </c>
      <c r="D162" s="3"/>
      <c r="E162" s="2"/>
      <c r="F162" s="2"/>
      <c r="G162" s="3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2:20" ht="15" customHeight="1" thickTop="1" x14ac:dyDescent="0.3">
      <c r="B163" s="2"/>
      <c r="C163" s="24" t="s">
        <v>55</v>
      </c>
      <c r="D163" s="87">
        <v>-2.0327443211742801E-2</v>
      </c>
      <c r="E163" s="33">
        <f>D163*E158</f>
        <v>-1465.5690852013554</v>
      </c>
      <c r="F163" s="2"/>
      <c r="G163" s="3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2:20" thickBot="1" x14ac:dyDescent="0.35">
      <c r="B164" s="2"/>
      <c r="C164" s="24"/>
      <c r="D164" s="3"/>
      <c r="F164" s="2"/>
      <c r="G164" s="3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2:20" thickTop="1" x14ac:dyDescent="0.3">
      <c r="B165" s="2"/>
      <c r="C165" s="24" t="s">
        <v>26</v>
      </c>
      <c r="D165" s="22" t="s">
        <v>25</v>
      </c>
      <c r="E165" s="88">
        <v>0.71842457772211932</v>
      </c>
      <c r="F165" s="26"/>
      <c r="G165" s="3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2:20" thickBot="1" x14ac:dyDescent="0.35">
      <c r="B166" s="2"/>
      <c r="C166" s="24"/>
      <c r="D166" s="3"/>
      <c r="E166" s="46"/>
      <c r="F166" s="15"/>
      <c r="G166" s="3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2:20" thickTop="1" x14ac:dyDescent="0.3">
      <c r="B167" s="2"/>
      <c r="C167" s="24" t="s">
        <v>29</v>
      </c>
      <c r="D167" s="3" t="s">
        <v>30</v>
      </c>
      <c r="E167" s="47">
        <v>79.576335949735636</v>
      </c>
      <c r="F167" s="15"/>
      <c r="G167" s="3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2:20" ht="13" x14ac:dyDescent="0.3">
      <c r="B168" s="2"/>
      <c r="C168" s="24" t="s">
        <v>31</v>
      </c>
      <c r="D168" s="3" t="s">
        <v>32</v>
      </c>
      <c r="E168" s="43">
        <f>31.7184290558378*0.7</f>
        <v>22.202900339086458</v>
      </c>
      <c r="F168" s="15"/>
      <c r="G168" s="3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2:20" ht="13" x14ac:dyDescent="0.3">
      <c r="B169" s="2"/>
      <c r="C169" s="24" t="s">
        <v>33</v>
      </c>
      <c r="D169" s="3" t="s">
        <v>34</v>
      </c>
      <c r="E169" s="45">
        <v>0.45277120002152066</v>
      </c>
      <c r="F169" s="15"/>
      <c r="G169" s="3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2:20" thickBot="1" x14ac:dyDescent="0.35">
      <c r="B170" s="2"/>
      <c r="C170" s="24"/>
      <c r="D170" s="3"/>
      <c r="E170" s="89"/>
      <c r="F170" s="15"/>
      <c r="G170" s="3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2:20" thickTop="1" x14ac:dyDescent="0.3">
      <c r="B171" s="2"/>
      <c r="C171" s="29" t="s">
        <v>64</v>
      </c>
      <c r="D171" s="3" t="s">
        <v>63</v>
      </c>
      <c r="E171" s="91">
        <v>0</v>
      </c>
      <c r="F171" s="15"/>
      <c r="G171" s="3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2:20" ht="24" customHeight="1" thickBot="1" x14ac:dyDescent="0.35">
      <c r="B172" s="2"/>
      <c r="C172" s="2"/>
      <c r="D172" s="3"/>
      <c r="E172" s="2"/>
      <c r="F172" s="2"/>
      <c r="G172" s="3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2:20" ht="15" thickTop="1" thickBot="1" x14ac:dyDescent="0.35">
      <c r="B173" s="2"/>
      <c r="C173" s="31" t="s">
        <v>40</v>
      </c>
      <c r="D173" s="3"/>
      <c r="E173" s="2"/>
      <c r="F173" s="2"/>
      <c r="G173" s="3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2:20" thickTop="1" x14ac:dyDescent="0.3">
      <c r="B174" s="2"/>
      <c r="C174" s="24" t="s">
        <v>65</v>
      </c>
      <c r="D174" s="3" t="s">
        <v>41</v>
      </c>
      <c r="E174" s="23">
        <f>+E152</f>
        <v>451.39047907086422</v>
      </c>
      <c r="F174" s="2"/>
      <c r="G174" s="3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2:20" ht="13" x14ac:dyDescent="0.3">
      <c r="B175" s="2"/>
      <c r="C175" s="24" t="s">
        <v>192</v>
      </c>
      <c r="D175" s="3" t="s">
        <v>41</v>
      </c>
      <c r="E175" s="19">
        <v>0</v>
      </c>
      <c r="F175" s="2"/>
      <c r="G175" s="3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2:20" ht="13" x14ac:dyDescent="0.3">
      <c r="B176" s="2"/>
      <c r="C176" s="24" t="s">
        <v>66</v>
      </c>
      <c r="D176" s="3" t="s">
        <v>41</v>
      </c>
      <c r="E176" s="35">
        <v>0</v>
      </c>
      <c r="F176" s="2"/>
      <c r="G176" s="3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2:20" ht="8.25" customHeight="1" x14ac:dyDescent="0.3">
      <c r="B177" s="2"/>
      <c r="C177" s="24"/>
      <c r="D177" s="3"/>
      <c r="E177" s="52"/>
      <c r="F177" s="2"/>
      <c r="G177" s="3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2:20" ht="14.25" customHeight="1" x14ac:dyDescent="0.3">
      <c r="B178" s="2"/>
      <c r="C178" s="24" t="s">
        <v>55</v>
      </c>
      <c r="D178" s="3" t="s">
        <v>41</v>
      </c>
      <c r="E178" s="90">
        <v>345.80423749206642</v>
      </c>
      <c r="F178" s="15"/>
      <c r="G178" s="3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2:20" ht="10.5" customHeight="1" thickBot="1" x14ac:dyDescent="0.35">
      <c r="B179" s="2"/>
      <c r="C179" s="24"/>
      <c r="D179" s="3"/>
      <c r="E179" s="92"/>
      <c r="F179" s="15"/>
      <c r="G179" s="3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2:20" thickTop="1" x14ac:dyDescent="0.3">
      <c r="B180" s="2"/>
      <c r="C180" s="24" t="s">
        <v>26</v>
      </c>
      <c r="D180" s="3" t="s">
        <v>43</v>
      </c>
      <c r="E180" s="94">
        <v>1192.1342716711349</v>
      </c>
      <c r="F180" s="15"/>
      <c r="G180" s="3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2:20" ht="9" customHeight="1" thickBot="1" x14ac:dyDescent="0.35">
      <c r="B181" s="2"/>
      <c r="C181" s="55"/>
      <c r="D181" s="3"/>
      <c r="E181" s="15"/>
      <c r="F181" s="15"/>
      <c r="G181" s="3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2:20" thickTop="1" x14ac:dyDescent="0.3">
      <c r="B182" s="2"/>
      <c r="C182" s="24" t="s">
        <v>29</v>
      </c>
      <c r="D182" s="22" t="s">
        <v>44</v>
      </c>
      <c r="E182" s="57">
        <f>+E129</f>
        <v>7.0000000000000007E-2</v>
      </c>
      <c r="F182" s="15"/>
      <c r="G182" s="3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2:20" ht="13" x14ac:dyDescent="0.3">
      <c r="B183" s="2"/>
      <c r="C183" s="24" t="s">
        <v>31</v>
      </c>
      <c r="D183" s="22" t="s">
        <v>45</v>
      </c>
      <c r="E183" s="51">
        <f>+E130</f>
        <v>0.25072464212651396</v>
      </c>
      <c r="F183" s="15"/>
      <c r="G183" s="3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2:20" ht="13" x14ac:dyDescent="0.3">
      <c r="B184" s="2"/>
      <c r="C184" s="24" t="s">
        <v>33</v>
      </c>
      <c r="D184" s="22" t="s">
        <v>46</v>
      </c>
      <c r="E184" s="53">
        <f>+E131</f>
        <v>0.27163955106549381</v>
      </c>
      <c r="F184" s="15"/>
      <c r="G184" s="3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2:20" thickBot="1" x14ac:dyDescent="0.35">
      <c r="B185" s="2"/>
      <c r="C185" s="24"/>
      <c r="D185" s="3"/>
      <c r="E185" s="89"/>
      <c r="F185" s="15"/>
      <c r="G185" s="3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2:20" thickTop="1" x14ac:dyDescent="0.3">
      <c r="B186" s="2"/>
      <c r="C186" s="29" t="s">
        <v>67</v>
      </c>
      <c r="D186" s="3" t="s">
        <v>41</v>
      </c>
      <c r="E186" s="45">
        <v>0</v>
      </c>
      <c r="F186" s="15"/>
      <c r="G186" s="3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2:20" ht="13.5" customHeight="1" thickBot="1" x14ac:dyDescent="0.35">
      <c r="B187" s="2"/>
      <c r="C187" s="2"/>
      <c r="D187" s="3"/>
      <c r="E187" s="2"/>
      <c r="F187" s="2"/>
      <c r="G187" s="3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2:20" ht="15" thickTop="1" thickBot="1" x14ac:dyDescent="0.35">
      <c r="B188" s="2"/>
      <c r="C188" s="31" t="s">
        <v>47</v>
      </c>
      <c r="D188" s="3"/>
      <c r="E188" s="2"/>
      <c r="F188" s="2"/>
      <c r="G188" s="3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2:20" thickTop="1" x14ac:dyDescent="0.3">
      <c r="B189" s="2"/>
      <c r="C189" s="24" t="s">
        <v>53</v>
      </c>
      <c r="D189" s="3" t="s">
        <v>41</v>
      </c>
      <c r="E189" s="95">
        <f>E174*E158/E156</f>
        <v>464.91964061269363</v>
      </c>
      <c r="F189" s="2"/>
      <c r="G189" s="3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2:20" ht="13" x14ac:dyDescent="0.3">
      <c r="B190" s="2"/>
      <c r="C190" s="24" t="s">
        <v>192</v>
      </c>
      <c r="D190" s="3" t="s">
        <v>41</v>
      </c>
      <c r="E190" s="96">
        <f>E175*E159/E156</f>
        <v>0</v>
      </c>
      <c r="F190" s="2"/>
      <c r="G190" s="3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2:20" ht="13" x14ac:dyDescent="0.3">
      <c r="B191" s="2"/>
      <c r="C191" s="24" t="s">
        <v>62</v>
      </c>
      <c r="D191" s="3" t="s">
        <v>41</v>
      </c>
      <c r="E191" s="96">
        <f>E160*E176/E156</f>
        <v>0</v>
      </c>
      <c r="F191" s="2"/>
      <c r="G191" s="3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2:20" ht="8.25" customHeight="1" x14ac:dyDescent="0.3">
      <c r="B192" s="2"/>
      <c r="C192" s="24"/>
      <c r="D192" s="3"/>
      <c r="E192" s="96"/>
      <c r="F192" s="2"/>
      <c r="G192" s="3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2:20" ht="12.75" customHeight="1" x14ac:dyDescent="0.3">
      <c r="B193" s="2"/>
      <c r="C193" s="24" t="s">
        <v>55</v>
      </c>
      <c r="D193" s="3" t="s">
        <v>41</v>
      </c>
      <c r="E193" s="96">
        <f>E163*E178/E$156</f>
        <v>-7.24</v>
      </c>
      <c r="F193" s="2"/>
      <c r="G193" s="3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2:20" thickBot="1" x14ac:dyDescent="0.35">
      <c r="B194" s="2"/>
      <c r="C194" s="24"/>
      <c r="D194" s="3"/>
      <c r="E194" s="54"/>
      <c r="F194" s="2"/>
      <c r="G194" s="3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2:20" thickTop="1" x14ac:dyDescent="0.3">
      <c r="B195" s="2"/>
      <c r="C195" s="24" t="s">
        <v>26</v>
      </c>
      <c r="D195" s="3" t="s">
        <v>41</v>
      </c>
      <c r="E195" s="98">
        <f>E180*E165/1000</f>
        <v>0.85645856071340132</v>
      </c>
      <c r="F195" s="2"/>
      <c r="G195" s="3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2:20" ht="14.5" thickBot="1" x14ac:dyDescent="0.35">
      <c r="B196" s="2"/>
      <c r="C196" s="55"/>
      <c r="D196" s="3"/>
      <c r="E196" s="62"/>
      <c r="F196" s="2"/>
      <c r="G196" s="3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2:20" thickTop="1" x14ac:dyDescent="0.3">
      <c r="B197" s="2"/>
      <c r="C197" s="24" t="s">
        <v>29</v>
      </c>
      <c r="D197" s="22" t="s">
        <v>44</v>
      </c>
      <c r="E197" s="95">
        <f>E182*E167</f>
        <v>5.5703435164814952</v>
      </c>
      <c r="F197" s="2"/>
      <c r="G197" s="3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2:20" ht="13" x14ac:dyDescent="0.3">
      <c r="B198" s="2"/>
      <c r="C198" s="24" t="s">
        <v>31</v>
      </c>
      <c r="D198" s="22" t="s">
        <v>45</v>
      </c>
      <c r="E198" s="96">
        <f>E183*E168</f>
        <v>5.5668142416881077</v>
      </c>
      <c r="F198" s="2"/>
      <c r="G198" s="3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2:20" ht="13" x14ac:dyDescent="0.3">
      <c r="B199" s="2"/>
      <c r="C199" s="24" t="s">
        <v>33</v>
      </c>
      <c r="D199" s="22" t="s">
        <v>46</v>
      </c>
      <c r="E199" s="97">
        <f>E184*E169</f>
        <v>0.12299056550923078</v>
      </c>
      <c r="F199" s="2"/>
      <c r="G199" s="3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2:20" thickBot="1" x14ac:dyDescent="0.35">
      <c r="B200" s="2"/>
      <c r="C200" s="24"/>
      <c r="D200" s="3"/>
      <c r="E200" s="99"/>
      <c r="F200" s="2"/>
      <c r="G200" s="3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2:20" ht="14" thickTop="1" thickBot="1" x14ac:dyDescent="0.35">
      <c r="B201" s="2"/>
      <c r="C201" s="29" t="s">
        <v>67</v>
      </c>
      <c r="D201" s="3" t="s">
        <v>41</v>
      </c>
      <c r="E201" s="97">
        <f>E186*E171</f>
        <v>0</v>
      </c>
      <c r="F201" s="2"/>
      <c r="G201" s="3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2:20" ht="13" hidden="1" x14ac:dyDescent="0.3">
      <c r="B202" s="2"/>
      <c r="C202" s="100" t="s">
        <v>68</v>
      </c>
      <c r="D202" s="76" t="s">
        <v>41</v>
      </c>
      <c r="E202" s="101">
        <f>((1/E157)-1)*$D$158*E174</f>
        <v>13.529161541829358</v>
      </c>
      <c r="F202" s="101"/>
      <c r="G202" s="3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2:20" ht="13" hidden="1" x14ac:dyDescent="0.3">
      <c r="B203" s="2"/>
      <c r="C203" s="100" t="s">
        <v>69</v>
      </c>
      <c r="D203" s="76" t="s">
        <v>41</v>
      </c>
      <c r="E203" s="101">
        <f>((1/E157)-1)*$D$160*E176</f>
        <v>0</v>
      </c>
      <c r="F203" s="101"/>
      <c r="G203" s="3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2:20" hidden="1" thickBot="1" x14ac:dyDescent="0.35">
      <c r="B204" s="2"/>
      <c r="C204" s="78" t="s">
        <v>70</v>
      </c>
      <c r="D204" s="79" t="s">
        <v>41</v>
      </c>
      <c r="E204" s="102">
        <f>SUM(E193:E203)</f>
        <v>18.405768426221591</v>
      </c>
      <c r="F204" s="102"/>
      <c r="G204" s="3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2:20" ht="14.5" thickTop="1" x14ac:dyDescent="0.3">
      <c r="B205" s="2"/>
      <c r="C205" s="21" t="s">
        <v>71</v>
      </c>
      <c r="D205" s="22" t="s">
        <v>41</v>
      </c>
      <c r="E205" s="220">
        <f>SUM(E189:E193)+SUM(E195:E195)+SUM(E197:E199)+SUM(E201:E201)</f>
        <v>469.79624749708586</v>
      </c>
      <c r="F205" s="103"/>
      <c r="G205" s="248">
        <v>424.09</v>
      </c>
      <c r="H205" s="235">
        <f>E205-G205</f>
        <v>45.706247497085883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2:20" ht="13" x14ac:dyDescent="0.3">
      <c r="B206" s="2"/>
      <c r="C206" s="29" t="s">
        <v>72</v>
      </c>
      <c r="D206" s="22" t="s">
        <v>73</v>
      </c>
      <c r="E206" s="30">
        <f>E205*E156</f>
        <v>32885737.32479601</v>
      </c>
      <c r="F206" s="22"/>
      <c r="G206" s="3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2:20" thickBot="1" x14ac:dyDescent="0.35">
      <c r="B207" s="2"/>
      <c r="C207" s="2"/>
      <c r="D207" s="22"/>
      <c r="E207" s="2"/>
      <c r="F207" s="2"/>
      <c r="G207" s="3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2:20" thickTop="1" x14ac:dyDescent="0.3">
      <c r="B208" s="2"/>
      <c r="C208" s="104" t="s">
        <v>74</v>
      </c>
      <c r="D208" s="22" t="s">
        <v>73</v>
      </c>
      <c r="E208" s="41">
        <f>F208*'Fixed Cost'!E46*1000000</f>
        <v>885000</v>
      </c>
      <c r="F208" s="394">
        <v>0.5</v>
      </c>
      <c r="G208" s="3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2:20" ht="13" x14ac:dyDescent="0.3">
      <c r="B209" s="2"/>
      <c r="C209" s="24" t="s">
        <v>75</v>
      </c>
      <c r="D209" s="22" t="s">
        <v>73</v>
      </c>
      <c r="E209" s="44">
        <f>'Fixed Cost'!E49*1000000</f>
        <v>1260000</v>
      </c>
      <c r="F209" s="26"/>
      <c r="G209" s="3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2:20" ht="13" x14ac:dyDescent="0.3">
      <c r="B210" s="2"/>
      <c r="C210" s="24" t="s">
        <v>208</v>
      </c>
      <c r="D210" s="22" t="s">
        <v>73</v>
      </c>
      <c r="E210" s="44">
        <f>11*E10*E12</f>
        <v>0</v>
      </c>
      <c r="F210" s="26"/>
      <c r="G210" s="3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2:20" ht="13" x14ac:dyDescent="0.3">
      <c r="B211" s="2"/>
      <c r="C211" s="24" t="s">
        <v>76</v>
      </c>
      <c r="D211" s="22" t="s">
        <v>73</v>
      </c>
      <c r="E211" s="44">
        <f>F211*'Fixed Cost'!E46*1000000</f>
        <v>885000</v>
      </c>
      <c r="F211" s="394">
        <v>0.5</v>
      </c>
      <c r="G211" s="3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2:20" ht="13" x14ac:dyDescent="0.3">
      <c r="B212" s="2"/>
      <c r="C212" s="24" t="s">
        <v>77</v>
      </c>
      <c r="D212" s="22" t="s">
        <v>41</v>
      </c>
      <c r="E212" s="52">
        <f>E208/E156</f>
        <v>12.642857142857142</v>
      </c>
      <c r="F212" s="22"/>
      <c r="G212" s="3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2:20" ht="13" x14ac:dyDescent="0.3">
      <c r="B213" s="2"/>
      <c r="C213" s="24" t="s">
        <v>78</v>
      </c>
      <c r="D213" s="22" t="s">
        <v>41</v>
      </c>
      <c r="E213" s="52">
        <f>E209/E156</f>
        <v>18</v>
      </c>
      <c r="F213" s="22"/>
      <c r="G213" s="3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2:20" ht="13" x14ac:dyDescent="0.3">
      <c r="B214" s="2"/>
      <c r="C214" s="24" t="s">
        <v>208</v>
      </c>
      <c r="D214" s="22" t="s">
        <v>73</v>
      </c>
      <c r="E214" s="52">
        <f>E210/E156</f>
        <v>0</v>
      </c>
      <c r="F214" s="22"/>
      <c r="G214" s="3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2:20" ht="13" x14ac:dyDescent="0.3">
      <c r="B215" s="2"/>
      <c r="C215" s="29" t="s">
        <v>79</v>
      </c>
      <c r="D215" s="22" t="s">
        <v>41</v>
      </c>
      <c r="E215" s="30">
        <f>E211/E156</f>
        <v>12.642857142857142</v>
      </c>
      <c r="F215" s="22"/>
      <c r="G215" s="3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2:20" thickBot="1" x14ac:dyDescent="0.35">
      <c r="B216" s="2"/>
      <c r="C216" s="2"/>
      <c r="D216" s="22"/>
      <c r="E216" s="83"/>
      <c r="F216" s="22"/>
      <c r="G216" s="3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2:20" ht="14.5" thickTop="1" x14ac:dyDescent="0.3">
      <c r="B217" s="2"/>
      <c r="C217" s="21" t="s">
        <v>80</v>
      </c>
      <c r="D217" s="22" t="s">
        <v>41</v>
      </c>
      <c r="E217" s="23">
        <f>SUM(E212:E215)</f>
        <v>43.285714285714285</v>
      </c>
      <c r="F217" s="22"/>
      <c r="G217" s="3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2:20" ht="13" x14ac:dyDescent="0.3">
      <c r="B218" s="2"/>
      <c r="C218" s="29" t="s">
        <v>81</v>
      </c>
      <c r="D218" s="22" t="s">
        <v>73</v>
      </c>
      <c r="E218" s="30">
        <f>E217*E156</f>
        <v>3030000</v>
      </c>
      <c r="F218" s="22"/>
      <c r="G218" s="3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2:20" thickBot="1" x14ac:dyDescent="0.35">
      <c r="B219" s="2"/>
      <c r="C219" s="2"/>
      <c r="D219" s="22"/>
      <c r="E219" s="13"/>
      <c r="F219" s="22"/>
      <c r="G219" s="3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2:20" ht="14.5" thickTop="1" x14ac:dyDescent="0.3">
      <c r="B220" s="2"/>
      <c r="C220" s="21" t="s">
        <v>82</v>
      </c>
      <c r="D220" s="22" t="s">
        <v>41</v>
      </c>
      <c r="E220" s="58">
        <f>E217+E205</f>
        <v>513.08196178280014</v>
      </c>
      <c r="F220" s="22"/>
      <c r="G220" s="3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2:20" ht="13" x14ac:dyDescent="0.3">
      <c r="B221" s="2"/>
      <c r="C221" s="29" t="s">
        <v>83</v>
      </c>
      <c r="D221" s="22" t="s">
        <v>73</v>
      </c>
      <c r="E221" s="30">
        <f>E220*E10</f>
        <v>35915737.324796006</v>
      </c>
      <c r="F221" s="22"/>
      <c r="G221" s="3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2:20" thickBot="1" x14ac:dyDescent="0.35">
      <c r="B222" s="2"/>
      <c r="C222" s="2"/>
      <c r="D222" s="22"/>
      <c r="E222" s="13"/>
      <c r="F222" s="22"/>
      <c r="G222" s="3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2:20" thickTop="1" x14ac:dyDescent="0.3">
      <c r="B223" s="2"/>
      <c r="C223" s="104" t="s">
        <v>84</v>
      </c>
      <c r="D223" s="22" t="s">
        <v>5</v>
      </c>
      <c r="E223" s="106">
        <f>E224/E225</f>
        <v>0.89375567536358724</v>
      </c>
      <c r="F223" s="22"/>
      <c r="G223" s="3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2:20" ht="13" x14ac:dyDescent="0.3">
      <c r="B224" s="2"/>
      <c r="C224" s="24" t="s">
        <v>85</v>
      </c>
      <c r="D224" s="22" t="s">
        <v>41</v>
      </c>
      <c r="E224" s="52">
        <f>E220</f>
        <v>513.08196178280014</v>
      </c>
      <c r="F224" s="22"/>
      <c r="G224" s="3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2:20" ht="13" x14ac:dyDescent="0.3">
      <c r="B225" s="2"/>
      <c r="C225" s="24" t="s">
        <v>86</v>
      </c>
      <c r="D225" s="22" t="s">
        <v>41</v>
      </c>
      <c r="E225" s="52">
        <f>E17/E5</f>
        <v>574.07407407407413</v>
      </c>
      <c r="F225" s="22"/>
      <c r="G225" s="3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2:20" ht="13" x14ac:dyDescent="0.3">
      <c r="B226" s="2"/>
      <c r="C226" s="29" t="s">
        <v>87</v>
      </c>
      <c r="D226" s="22" t="s">
        <v>41</v>
      </c>
      <c r="E226" s="30">
        <f>E225-E224</f>
        <v>60.992112291273997</v>
      </c>
      <c r="F226" s="22"/>
      <c r="G226" s="3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2:20" ht="13" x14ac:dyDescent="0.3">
      <c r="B227" s="2"/>
      <c r="C227" s="2"/>
      <c r="D227" s="22"/>
      <c r="E227" s="83"/>
      <c r="F227" s="22"/>
      <c r="G227" s="3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2:20" ht="13" x14ac:dyDescent="0.3">
      <c r="B228" s="2"/>
      <c r="C228" s="2" t="s">
        <v>303</v>
      </c>
      <c r="D228" s="22"/>
      <c r="E228" s="83">
        <f>E225*E156</f>
        <v>40185185.185185187</v>
      </c>
      <c r="F228" s="22"/>
      <c r="G228" s="3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2:20" ht="13" x14ac:dyDescent="0.3">
      <c r="B229" s="2"/>
      <c r="C229" s="2" t="s">
        <v>304</v>
      </c>
      <c r="D229" s="22"/>
      <c r="E229" s="83">
        <f>-E220*E156</f>
        <v>-35915737.324796006</v>
      </c>
      <c r="F229" s="22"/>
      <c r="G229" s="3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2:20" ht="13" x14ac:dyDescent="0.3">
      <c r="B230" s="2"/>
      <c r="C230" s="2" t="s">
        <v>302</v>
      </c>
      <c r="D230" s="22"/>
      <c r="E230" s="83">
        <f>E226*E156</f>
        <v>4269447.8603891796</v>
      </c>
      <c r="F230" s="22"/>
      <c r="G230" s="3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2:20" thickBot="1" x14ac:dyDescent="0.35">
      <c r="B231" s="2"/>
      <c r="C231" s="2"/>
      <c r="D231" s="3"/>
      <c r="E231" s="2"/>
      <c r="F231" s="2"/>
      <c r="G231" s="3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2:20" thickTop="1" x14ac:dyDescent="0.3">
      <c r="B232" s="2"/>
      <c r="C232" s="104" t="s">
        <v>267</v>
      </c>
      <c r="D232" s="22" t="s">
        <v>73</v>
      </c>
      <c r="E232" s="23">
        <f>-'Fixed Cost'!E47*1000000</f>
        <v>-130000</v>
      </c>
      <c r="F232" s="2"/>
      <c r="G232" s="3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2:20" ht="13" x14ac:dyDescent="0.3">
      <c r="B233" s="2"/>
      <c r="C233" s="24" t="s">
        <v>297</v>
      </c>
      <c r="D233" s="22" t="s">
        <v>73</v>
      </c>
      <c r="E233" s="52">
        <f>E226*E10+E232</f>
        <v>4139447.8603891796</v>
      </c>
      <c r="F233" s="2"/>
      <c r="G233" s="3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2:20" ht="13" x14ac:dyDescent="0.3">
      <c r="B234" s="2"/>
      <c r="C234" s="24" t="s">
        <v>298</v>
      </c>
      <c r="D234" s="22" t="s">
        <v>73</v>
      </c>
      <c r="E234" s="52">
        <f>-'Fixed Cost'!E48*1000000</f>
        <v>-1210000</v>
      </c>
      <c r="F234" s="2"/>
      <c r="G234" s="3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2:20" ht="13" x14ac:dyDescent="0.3">
      <c r="C235" s="29" t="s">
        <v>299</v>
      </c>
      <c r="D235" s="22" t="s">
        <v>73</v>
      </c>
      <c r="E235" s="30">
        <f>E233+E234</f>
        <v>2929447.8603891796</v>
      </c>
      <c r="G235" s="34"/>
    </row>
    <row r="236" spans="2:20" thickBot="1" x14ac:dyDescent="0.35">
      <c r="C236" s="2"/>
      <c r="D236" s="22"/>
      <c r="G236" s="34"/>
    </row>
    <row r="237" spans="2:20" ht="15" thickTop="1" x14ac:dyDescent="0.35">
      <c r="C237" s="31" t="s">
        <v>47</v>
      </c>
      <c r="G237" s="34"/>
      <c r="J237" s="4" t="s">
        <v>223</v>
      </c>
    </row>
    <row r="238" spans="2:20" x14ac:dyDescent="0.35">
      <c r="C238" s="24" t="s">
        <v>18</v>
      </c>
      <c r="E238" s="209">
        <f>+E73*$E$19</f>
        <v>1395804.96271571</v>
      </c>
      <c r="G238" s="73">
        <f>1/(+$E$20*$E$105)*E49*$E$104*D24</f>
        <v>1395804.96271571</v>
      </c>
      <c r="H238" s="73">
        <f>(1/(+$E$20*$E$105)-1)*E49*$E$104*D24</f>
        <v>243865.4818216945</v>
      </c>
      <c r="I238" s="4">
        <f>H238/$E$104</f>
        <v>3.3824142328669029</v>
      </c>
    </row>
    <row r="239" spans="2:20" x14ac:dyDescent="0.35">
      <c r="C239" s="24" t="s">
        <v>19</v>
      </c>
      <c r="E239" s="209">
        <f>+E74*$E$19</f>
        <v>3043821.6182642519</v>
      </c>
      <c r="G239" s="73">
        <f>1/(+$E$20*$E$105)*E50*$E$104*D25</f>
        <v>3043821.6182642533</v>
      </c>
      <c r="H239" s="73">
        <f>(1/(+$E$20*$E$105)-1)*E50*$E$104*D25</f>
        <v>531795.66296504554</v>
      </c>
      <c r="I239" s="4">
        <f>H239/$E$104</f>
        <v>7.3760058453251816</v>
      </c>
    </row>
    <row r="240" spans="2:20" x14ac:dyDescent="0.35">
      <c r="C240" s="24" t="s">
        <v>20</v>
      </c>
      <c r="E240" s="209">
        <f>+E75*$E$19</f>
        <v>18681321.785667706</v>
      </c>
      <c r="G240" s="73">
        <f>1/(+$E$20*$E$105)*E51*$E$104*D26</f>
        <v>18681321.785667714</v>
      </c>
      <c r="H240" s="73">
        <f>(1/(+$E$20*$E$105)-1)*E51*$E$104*D26</f>
        <v>3263872.5753376335</v>
      </c>
      <c r="I240" s="4">
        <f>H240/$E$104</f>
        <v>45.269912619932974</v>
      </c>
      <c r="J240" s="4">
        <f>SUM(I238:I240)</f>
        <v>56.028332698125055</v>
      </c>
    </row>
    <row r="241" spans="3:11" x14ac:dyDescent="0.35">
      <c r="C241" s="24" t="s">
        <v>21</v>
      </c>
      <c r="E241" s="209">
        <f>+E76*$E$19</f>
        <v>0</v>
      </c>
      <c r="G241" s="34"/>
    </row>
    <row r="242" spans="3:11" x14ac:dyDescent="0.35">
      <c r="C242" s="24" t="s">
        <v>22</v>
      </c>
      <c r="E242" s="209">
        <f>+E77*$E$19</f>
        <v>0</v>
      </c>
      <c r="G242" s="34"/>
    </row>
    <row r="243" spans="3:11" x14ac:dyDescent="0.35">
      <c r="C243" s="24"/>
      <c r="E243" s="209"/>
      <c r="G243" s="34"/>
    </row>
    <row r="244" spans="3:11" x14ac:dyDescent="0.35">
      <c r="C244" s="24" t="s">
        <v>42</v>
      </c>
      <c r="E244" s="209">
        <f>+E79*$E$19</f>
        <v>-1064289.2267464334</v>
      </c>
      <c r="G244" s="233">
        <f>+E244/$E$104</f>
        <v>-14.761691574973032</v>
      </c>
      <c r="J244" s="63">
        <f>(E244/E104)+E245/E104</f>
        <v>-15.701982720662317</v>
      </c>
    </row>
    <row r="245" spans="3:11" x14ac:dyDescent="0.35">
      <c r="C245" s="24" t="s">
        <v>225</v>
      </c>
      <c r="E245" s="209">
        <f>+E139*E104</f>
        <v>-67793.16118884529</v>
      </c>
      <c r="G245" s="233">
        <f>+E245/$E$104</f>
        <v>-0.94029114568928418</v>
      </c>
      <c r="J245" s="63"/>
    </row>
    <row r="246" spans="3:11" x14ac:dyDescent="0.35">
      <c r="C246" s="24"/>
      <c r="E246" s="209"/>
      <c r="G246" s="34"/>
      <c r="I246" s="4" t="s">
        <v>229</v>
      </c>
    </row>
    <row r="247" spans="3:11" x14ac:dyDescent="0.35">
      <c r="C247" s="24" t="s">
        <v>24</v>
      </c>
      <c r="E247" s="209">
        <f>+E81*$E$19</f>
        <v>2186543.3087246716</v>
      </c>
      <c r="G247" s="233">
        <f t="shared" ref="G247:G252" si="2">+E247/$E$104</f>
        <v>30.327355692011196</v>
      </c>
      <c r="H247" s="242">
        <f t="shared" ref="H247:H252" si="3">+G247/$G$269</f>
        <v>0.38527436970959633</v>
      </c>
      <c r="I247" s="4">
        <f t="shared" ref="I247:I252" si="4">H247*$E$272</f>
        <v>1.121367826555509E-2</v>
      </c>
      <c r="J247" s="241">
        <f t="shared" ref="J247:J252" si="5">G247-I247</f>
        <v>30.31614201374564</v>
      </c>
      <c r="K247" s="4">
        <v>30.327355692011199</v>
      </c>
    </row>
    <row r="248" spans="3:11" x14ac:dyDescent="0.35">
      <c r="C248" s="24" t="s">
        <v>218</v>
      </c>
      <c r="E248" s="209">
        <f>+E141*$E$104</f>
        <v>121.97475014660728</v>
      </c>
      <c r="G248" s="233">
        <f t="shared" si="2"/>
        <v>1.691789784533443E-3</v>
      </c>
      <c r="H248" s="242">
        <f t="shared" si="3"/>
        <v>2.1492254370497373E-5</v>
      </c>
      <c r="I248" s="4">
        <f t="shared" si="4"/>
        <v>6.2554699886703828E-7</v>
      </c>
      <c r="J248" s="241">
        <f t="shared" si="5"/>
        <v>1.691164237534576E-3</v>
      </c>
      <c r="K248" s="4">
        <v>1.7110737094687899E-3</v>
      </c>
    </row>
    <row r="249" spans="3:11" x14ac:dyDescent="0.35">
      <c r="C249" s="24" t="s">
        <v>26</v>
      </c>
      <c r="E249" s="209">
        <f>+E82*$E$19</f>
        <v>841904.13971309294</v>
      </c>
      <c r="G249" s="233">
        <f t="shared" si="2"/>
        <v>11.6772104178206</v>
      </c>
      <c r="H249" s="242">
        <f t="shared" si="3"/>
        <v>0.14834560353302639</v>
      </c>
      <c r="I249" s="4">
        <f t="shared" si="4"/>
        <v>4.317701879268083E-3</v>
      </c>
      <c r="J249" s="241">
        <f t="shared" si="5"/>
        <v>11.672892715941332</v>
      </c>
      <c r="K249" s="4">
        <v>11.6772104178206</v>
      </c>
    </row>
    <row r="250" spans="3:11" x14ac:dyDescent="0.35">
      <c r="C250" s="24" t="s">
        <v>217</v>
      </c>
      <c r="E250" s="209">
        <f>+E142*$E$104</f>
        <v>105453.28957023435</v>
      </c>
      <c r="G250" s="233">
        <f t="shared" si="2"/>
        <v>1.4626371263391504</v>
      </c>
      <c r="H250" s="242">
        <f t="shared" si="3"/>
        <v>1.8581131922181148E-2</v>
      </c>
      <c r="I250" s="4">
        <f t="shared" si="4"/>
        <v>5.408167570093743E-4</v>
      </c>
      <c r="J250" s="241">
        <f t="shared" si="5"/>
        <v>1.4620963095821411</v>
      </c>
      <c r="K250" s="4">
        <v>1.4793090466981886</v>
      </c>
    </row>
    <row r="251" spans="3:11" x14ac:dyDescent="0.35">
      <c r="C251" s="24" t="s">
        <v>27</v>
      </c>
      <c r="E251" s="209">
        <f>+E83*$E$19</f>
        <v>1610999.998218593</v>
      </c>
      <c r="G251" s="233">
        <f t="shared" si="2"/>
        <v>22.344569975291886</v>
      </c>
      <c r="H251" s="242">
        <f t="shared" si="3"/>
        <v>0.28386220681713675</v>
      </c>
      <c r="I251" s="4">
        <f t="shared" si="4"/>
        <v>8.2620067911528781E-3</v>
      </c>
      <c r="J251" s="241">
        <f t="shared" si="5"/>
        <v>22.336307968500734</v>
      </c>
      <c r="K251" s="4">
        <v>22.599265336414998</v>
      </c>
    </row>
    <row r="252" spans="3:11" x14ac:dyDescent="0.35">
      <c r="C252" s="24" t="s">
        <v>28</v>
      </c>
      <c r="E252" s="209">
        <f>+E84*$E$19</f>
        <v>22046.895739084921</v>
      </c>
      <c r="G252" s="233">
        <f t="shared" si="2"/>
        <v>0.30579044390110788</v>
      </c>
      <c r="H252" s="242">
        <f t="shared" si="3"/>
        <v>3.8847178677121285E-3</v>
      </c>
      <c r="I252" s="4">
        <f t="shared" si="4"/>
        <v>1.1306741311084927E-4</v>
      </c>
      <c r="J252" s="241">
        <f t="shared" si="5"/>
        <v>0.30567737648799703</v>
      </c>
      <c r="K252" s="4">
        <v>0.30927600695394403</v>
      </c>
    </row>
    <row r="253" spans="3:11" ht="14.5" x14ac:dyDescent="0.35">
      <c r="C253" s="55"/>
      <c r="E253" s="209"/>
      <c r="G253" s="34"/>
    </row>
    <row r="254" spans="3:11" x14ac:dyDescent="0.35">
      <c r="C254" s="24" t="s">
        <v>214</v>
      </c>
      <c r="E254" s="209">
        <f>+E86*$E$19</f>
        <v>3646249.6695659081</v>
      </c>
      <c r="G254" s="233">
        <f t="shared" ref="G254:G264" si="6">+E254/$E$104</f>
        <v>50.573482916879144</v>
      </c>
      <c r="H254" s="242">
        <f t="shared" ref="H254:H264" si="7">+G254/$G$269</f>
        <v>0.64247826129965835</v>
      </c>
    </row>
    <row r="255" spans="3:11" x14ac:dyDescent="0.35">
      <c r="C255" s="24" t="s">
        <v>215</v>
      </c>
      <c r="E255" s="209">
        <f>+E87*$E$19</f>
        <v>1233871.3940484677</v>
      </c>
      <c r="G255" s="233">
        <f t="shared" si="6"/>
        <v>17.113796235452249</v>
      </c>
      <c r="H255" s="242">
        <f t="shared" si="7"/>
        <v>0.21741120870914515</v>
      </c>
    </row>
    <row r="256" spans="3:11" x14ac:dyDescent="0.35">
      <c r="C256" s="24" t="s">
        <v>219</v>
      </c>
      <c r="E256" s="209">
        <f>+E144*$E$104</f>
        <v>27171.707783807127</v>
      </c>
      <c r="G256" s="233">
        <f t="shared" si="6"/>
        <v>0.37687158696140488</v>
      </c>
      <c r="H256" s="242">
        <f t="shared" si="7"/>
        <v>4.7877224972257895E-3</v>
      </c>
      <c r="I256" s="4">
        <f>H256*$E$272</f>
        <v>1.3934999036950657E-4</v>
      </c>
      <c r="J256" s="241">
        <f t="shared" ref="J256:J264" si="8">G256-I256</f>
        <v>0.37673223697103536</v>
      </c>
      <c r="K256" s="4">
        <v>0.38116737090552716</v>
      </c>
    </row>
    <row r="257" spans="3:11" x14ac:dyDescent="0.35">
      <c r="C257" s="24" t="s">
        <v>31</v>
      </c>
      <c r="E257" s="209">
        <f>+E88*$E$19</f>
        <v>269041.42275088094</v>
      </c>
      <c r="G257" s="233">
        <f t="shared" si="6"/>
        <v>3.7316045335547186</v>
      </c>
      <c r="H257" s="242">
        <f t="shared" si="7"/>
        <v>4.7405767890587369E-2</v>
      </c>
      <c r="I257" s="4">
        <f t="shared" ref="I257:I264" si="9">H257*$E$272</f>
        <v>1.3797778177077323E-3</v>
      </c>
      <c r="J257" s="241">
        <f t="shared" si="8"/>
        <v>3.730224755737011</v>
      </c>
      <c r="K257" s="4">
        <v>3.7741393581359626</v>
      </c>
    </row>
    <row r="258" spans="3:11" x14ac:dyDescent="0.35">
      <c r="C258" s="24" t="s">
        <v>220</v>
      </c>
      <c r="E258" s="209">
        <f>+E145*$E$104</f>
        <v>121195.76289244695</v>
      </c>
      <c r="G258" s="233">
        <f t="shared" si="6"/>
        <v>1.6809852313182392</v>
      </c>
      <c r="H258" s="242">
        <f t="shared" si="7"/>
        <v>2.1354994878695459E-2</v>
      </c>
      <c r="I258" s="4">
        <f t="shared" si="9"/>
        <v>6.2155196597367347E-4</v>
      </c>
      <c r="J258" s="241">
        <f t="shared" si="8"/>
        <v>1.6803636793522656</v>
      </c>
      <c r="K258" s="4">
        <v>1.7001460001764737</v>
      </c>
    </row>
    <row r="259" spans="3:11" x14ac:dyDescent="0.35">
      <c r="C259" s="24" t="s">
        <v>33</v>
      </c>
      <c r="E259" s="209">
        <f>+E89*$E$19</f>
        <v>30937.687531319752</v>
      </c>
      <c r="G259" s="233">
        <f t="shared" si="6"/>
        <v>0.42910572605940495</v>
      </c>
      <c r="H259" s="242">
        <f t="shared" si="7"/>
        <v>5.4512974960710244E-3</v>
      </c>
      <c r="I259" s="4">
        <f t="shared" si="9"/>
        <v>1.5866380184293878E-4</v>
      </c>
      <c r="J259" s="241">
        <f t="shared" si="8"/>
        <v>0.42894706225756202</v>
      </c>
      <c r="K259" s="4">
        <v>0.43399690266202234</v>
      </c>
    </row>
    <row r="260" spans="3:11" x14ac:dyDescent="0.35">
      <c r="C260" s="24" t="s">
        <v>221</v>
      </c>
      <c r="E260" s="209">
        <f>+E146*$E$104</f>
        <v>9760.7374793847721</v>
      </c>
      <c r="G260" s="233">
        <f t="shared" si="6"/>
        <v>0.13538142883906679</v>
      </c>
      <c r="H260" s="242">
        <f t="shared" si="7"/>
        <v>1.7198662222996151E-3</v>
      </c>
      <c r="I260" s="4">
        <f t="shared" si="9"/>
        <v>5.0057901570770275E-5</v>
      </c>
      <c r="J260" s="241">
        <f t="shared" si="8"/>
        <v>0.135331370937496</v>
      </c>
      <c r="K260" s="4">
        <v>0.13692457878313183</v>
      </c>
    </row>
    <row r="261" spans="3:11" x14ac:dyDescent="0.35">
      <c r="C261" s="24" t="s">
        <v>35</v>
      </c>
      <c r="E261" s="209">
        <f>+E90*$E$19</f>
        <v>312256.247547306</v>
      </c>
      <c r="G261" s="233">
        <f t="shared" si="6"/>
        <v>4.330994153481134</v>
      </c>
      <c r="H261" s="242">
        <f t="shared" si="7"/>
        <v>5.5020327510384867E-2</v>
      </c>
      <c r="I261" s="4">
        <f t="shared" si="9"/>
        <v>1.6014048669574863E-3</v>
      </c>
      <c r="J261" s="241">
        <f t="shared" si="8"/>
        <v>4.3293927486141763</v>
      </c>
      <c r="K261" s="4">
        <v>4.3803611415754551</v>
      </c>
    </row>
    <row r="262" spans="3:11" x14ac:dyDescent="0.35">
      <c r="C262" s="24" t="s">
        <v>222</v>
      </c>
      <c r="E262" s="209">
        <f>+E147*$E$104</f>
        <v>43087.003832233175</v>
      </c>
      <c r="G262" s="233">
        <f t="shared" si="6"/>
        <v>0.59761674315307411</v>
      </c>
      <c r="H262" s="242">
        <f t="shared" si="7"/>
        <v>7.5920372479706053E-3</v>
      </c>
      <c r="I262" s="4">
        <f t="shared" si="9"/>
        <v>2.2097151996646855E-4</v>
      </c>
      <c r="J262" s="241">
        <f t="shared" si="8"/>
        <v>0.59739577163310764</v>
      </c>
      <c r="K262" s="4">
        <v>0.60442869846834313</v>
      </c>
    </row>
    <row r="263" spans="3:11" x14ac:dyDescent="0.35">
      <c r="C263" s="24" t="s">
        <v>36</v>
      </c>
      <c r="E263" s="209">
        <f>+E91*$E$19</f>
        <v>51583.209485507003</v>
      </c>
      <c r="G263" s="233">
        <f t="shared" si="6"/>
        <v>0.71545911556398212</v>
      </c>
      <c r="H263" s="242">
        <f t="shared" si="7"/>
        <v>9.0890898171682478E-3</v>
      </c>
      <c r="I263" s="4">
        <f t="shared" si="9"/>
        <v>2.6454427532587307E-4</v>
      </c>
      <c r="J263" s="241">
        <f t="shared" si="8"/>
        <v>0.71519457128865627</v>
      </c>
      <c r="K263" s="4">
        <v>0.72361430127616588</v>
      </c>
    </row>
    <row r="264" spans="3:11" x14ac:dyDescent="0.35">
      <c r="C264" s="24" t="s">
        <v>37</v>
      </c>
      <c r="E264" s="209">
        <f>+E92*$E$19</f>
        <v>43185.396811033424</v>
      </c>
      <c r="G264" s="233">
        <f t="shared" si="6"/>
        <v>0.59898145376903356</v>
      </c>
      <c r="H264" s="242">
        <f t="shared" si="7"/>
        <v>7.6093743355736066E-3</v>
      </c>
      <c r="I264" s="4">
        <f t="shared" si="9"/>
        <v>2.2147612794905596E-4</v>
      </c>
      <c r="J264" s="241">
        <f t="shared" si="8"/>
        <v>0.59875997764108446</v>
      </c>
      <c r="K264" s="4">
        <v>0.60580896478591351</v>
      </c>
    </row>
    <row r="265" spans="3:11" x14ac:dyDescent="0.35">
      <c r="C265" s="24"/>
      <c r="E265" s="209"/>
      <c r="G265" s="34"/>
    </row>
    <row r="266" spans="3:11" x14ac:dyDescent="0.35">
      <c r="C266" s="24" t="s">
        <v>38</v>
      </c>
      <c r="E266" s="209">
        <f>+E94*$E$19</f>
        <v>0</v>
      </c>
      <c r="G266" s="233">
        <f>+E266/$E$104</f>
        <v>0</v>
      </c>
      <c r="H266" s="242">
        <f>+G266/$G$269</f>
        <v>0</v>
      </c>
      <c r="I266" s="4">
        <f>H266*$E$272</f>
        <v>0</v>
      </c>
      <c r="J266" s="241">
        <f>G266-I266</f>
        <v>0</v>
      </c>
      <c r="K266" s="4">
        <v>4.3835563390064136</v>
      </c>
    </row>
    <row r="267" spans="3:11" x14ac:dyDescent="0.35">
      <c r="C267" s="29" t="s">
        <v>39</v>
      </c>
      <c r="E267" s="209">
        <f>+E95*$E$19</f>
        <v>0</v>
      </c>
      <c r="G267" s="34"/>
    </row>
    <row r="268" spans="3:11" x14ac:dyDescent="0.35">
      <c r="E268" s="209"/>
      <c r="G268" s="34"/>
    </row>
    <row r="269" spans="3:11" x14ac:dyDescent="0.35">
      <c r="E269" s="209">
        <f>SUM(E238:E267)</f>
        <v>32544275.82515651</v>
      </c>
      <c r="G269" s="233">
        <f>SUM(G247:G266)-G254-G255</f>
        <v>78.716255417848544</v>
      </c>
      <c r="J269" s="54">
        <f>SUM(E247:E267)/E104</f>
        <v>146.40353457017994</v>
      </c>
    </row>
    <row r="270" spans="3:11" x14ac:dyDescent="0.35">
      <c r="E270" s="238">
        <f>E269/E104</f>
        <v>451.38910569492077</v>
      </c>
      <c r="G270" s="34"/>
      <c r="J270" s="238">
        <f>+J269+J244</f>
        <v>130.70155184951761</v>
      </c>
      <c r="K270" s="4" t="s">
        <v>224</v>
      </c>
    </row>
    <row r="271" spans="3:11" x14ac:dyDescent="0.35">
      <c r="E271" s="239">
        <v>451.36</v>
      </c>
      <c r="G271" s="34"/>
    </row>
    <row r="272" spans="3:11" x14ac:dyDescent="0.35">
      <c r="E272" s="54">
        <f>E270-E271</f>
        <v>2.9105694920758651E-2</v>
      </c>
      <c r="G272" s="34">
        <v>6.9519286931042599</v>
      </c>
    </row>
    <row r="273" spans="5:7" x14ac:dyDescent="0.35">
      <c r="E273" s="209"/>
      <c r="G273" s="34"/>
    </row>
    <row r="274" spans="5:7" x14ac:dyDescent="0.35">
      <c r="E274" s="209"/>
      <c r="G274" s="34"/>
    </row>
    <row r="275" spans="5:7" x14ac:dyDescent="0.35">
      <c r="G275" s="34"/>
    </row>
    <row r="276" spans="5:7" x14ac:dyDescent="0.35">
      <c r="G276" s="34"/>
    </row>
    <row r="277" spans="5:7" x14ac:dyDescent="0.35">
      <c r="G277" s="34"/>
    </row>
    <row r="278" spans="5:7" x14ac:dyDescent="0.35">
      <c r="G278" s="34"/>
    </row>
    <row r="352" spans="2:20" ht="13" x14ac:dyDescent="0.3"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2:20" ht="13" x14ac:dyDescent="0.3"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2:20" ht="13" x14ac:dyDescent="0.3"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2:20" ht="13" x14ac:dyDescent="0.3"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2:20" ht="13" x14ac:dyDescent="0.3"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2:20" ht="13" x14ac:dyDescent="0.3"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2:20" ht="13" x14ac:dyDescent="0.3"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2:20" ht="13" x14ac:dyDescent="0.3"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2:20" ht="13" x14ac:dyDescent="0.3"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2:20" ht="13" x14ac:dyDescent="0.3"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</sheetData>
  <pageMargins left="0.7" right="0.7" top="0.75" bottom="0.75" header="0.3" footer="0.3"/>
  <pageSetup orientation="portrait" r:id="rId1"/>
  <headerFooter>
    <oddFooter>&amp;C&amp;1#&amp;"Calibri"&amp;10&amp;K737373EZDK Business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16365C"/>
  </sheetPr>
  <dimension ref="B1:R117"/>
  <sheetViews>
    <sheetView showGridLines="0" topLeftCell="A70" zoomScaleNormal="100" zoomScaleSheetLayoutView="40" workbookViewId="0">
      <selection activeCell="K86" sqref="K86"/>
    </sheetView>
  </sheetViews>
  <sheetFormatPr defaultColWidth="9.1796875" defaultRowHeight="14.5" x14ac:dyDescent="0.35"/>
  <cols>
    <col min="1" max="1" width="9.1796875" style="110"/>
    <col min="2" max="2" width="5.1796875" style="110" customWidth="1"/>
    <col min="3" max="3" width="34.54296875" style="316" bestFit="1" customWidth="1"/>
    <col min="4" max="4" width="14" style="317" bestFit="1" customWidth="1"/>
    <col min="5" max="5" width="17.453125" style="316" bestFit="1" customWidth="1"/>
    <col min="6" max="7" width="12.7265625" style="318" bestFit="1" customWidth="1"/>
    <col min="8" max="9" width="11.7265625" style="110" bestFit="1" customWidth="1"/>
    <col min="10" max="16384" width="9.1796875" style="110"/>
  </cols>
  <sheetData>
    <row r="1" spans="2:18" ht="15" thickBot="1" x14ac:dyDescent="0.4">
      <c r="B1" s="1"/>
      <c r="C1" s="1"/>
      <c r="D1" s="25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2:18" ht="48" customHeight="1" thickTop="1" x14ac:dyDescent="0.35">
      <c r="B2" s="1"/>
      <c r="C2" s="1"/>
      <c r="D2" s="253"/>
      <c r="E2" s="254" t="s">
        <v>93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2:18" x14ac:dyDescent="0.35">
      <c r="B3" s="1"/>
      <c r="C3" s="1"/>
      <c r="D3" s="25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2:18" ht="15" thickBot="1" x14ac:dyDescent="0.4">
      <c r="B4" s="8"/>
      <c r="C4" s="8"/>
      <c r="D4" s="253"/>
      <c r="E4" s="255" t="s">
        <v>94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2:18" ht="15.5" thickTop="1" thickBot="1" x14ac:dyDescent="0.4">
      <c r="B5" s="1"/>
      <c r="C5" s="1"/>
      <c r="D5" s="25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2:18" s="4" customFormat="1" ht="29.25" customHeight="1" thickTop="1" x14ac:dyDescent="0.3">
      <c r="B6" s="1"/>
      <c r="C6" s="256" t="s">
        <v>95</v>
      </c>
      <c r="D6" s="257" t="s">
        <v>96</v>
      </c>
      <c r="E6" s="258">
        <f>+Billet!D7</f>
        <v>16.2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1"/>
      <c r="R6" s="11"/>
    </row>
    <row r="7" spans="2:18" s="4" customFormat="1" ht="29.25" customHeight="1" x14ac:dyDescent="0.3">
      <c r="B7" s="1"/>
      <c r="C7" s="259" t="s">
        <v>88</v>
      </c>
      <c r="D7" s="257" t="s">
        <v>5</v>
      </c>
      <c r="E7" s="260"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1"/>
      <c r="R7" s="11"/>
    </row>
    <row r="8" spans="2:18" ht="28.5" customHeight="1" thickBot="1" x14ac:dyDescent="0.4">
      <c r="B8" s="1"/>
      <c r="C8" s="1"/>
      <c r="D8" s="253"/>
      <c r="E8" s="26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2:18" ht="15" thickBot="1" x14ac:dyDescent="0.4">
      <c r="B9" s="8"/>
      <c r="C9" s="262" t="s">
        <v>97</v>
      </c>
      <c r="D9" s="253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2:18" ht="15.5" thickTop="1" thickBot="1" x14ac:dyDescent="0.4">
      <c r="B10" s="1"/>
      <c r="C10" s="1"/>
      <c r="D10" s="253"/>
      <c r="E10" s="26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2:18" ht="33" customHeight="1" thickTop="1" x14ac:dyDescent="0.35">
      <c r="B11" s="1"/>
      <c r="C11" s="256" t="s">
        <v>98</v>
      </c>
      <c r="D11" s="257" t="s">
        <v>14</v>
      </c>
      <c r="E11" s="263">
        <v>500000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2:18" ht="33" customHeight="1" x14ac:dyDescent="0.35">
      <c r="B12" s="1"/>
      <c r="C12" s="264" t="s">
        <v>99</v>
      </c>
      <c r="D12" s="257" t="s">
        <v>5</v>
      </c>
      <c r="E12" s="265">
        <v>0.16079017999999998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2:18" ht="33" customHeight="1" x14ac:dyDescent="0.35">
      <c r="B13" s="1"/>
      <c r="C13" s="264" t="s">
        <v>100</v>
      </c>
      <c r="D13" s="257" t="s">
        <v>5</v>
      </c>
      <c r="E13" s="266">
        <f>1-E14</f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2:18" ht="33" customHeight="1" x14ac:dyDescent="0.35">
      <c r="B14" s="1"/>
      <c r="C14" s="267" t="s">
        <v>101</v>
      </c>
      <c r="D14" s="257" t="s">
        <v>5</v>
      </c>
      <c r="E14" s="260">
        <v>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2:18" ht="15" thickBot="1" x14ac:dyDescent="0.4">
      <c r="B15" s="1"/>
      <c r="C15" s="1"/>
      <c r="D15" s="257"/>
      <c r="E15" s="26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2:18" s="4" customFormat="1" ht="41.25" customHeight="1" thickTop="1" x14ac:dyDescent="0.3">
      <c r="B16" s="1"/>
      <c r="C16" s="269" t="s">
        <v>9</v>
      </c>
      <c r="D16" s="257" t="s">
        <v>10</v>
      </c>
      <c r="E16" s="270"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1"/>
      <c r="R16" s="11"/>
    </row>
    <row r="17" spans="2:18" s="4" customFormat="1" ht="41.25" customHeight="1" x14ac:dyDescent="0.3">
      <c r="B17" s="1"/>
      <c r="C17" s="259" t="s">
        <v>11</v>
      </c>
      <c r="D17" s="257" t="s">
        <v>12</v>
      </c>
      <c r="E17" s="271">
        <v>10743.1860950712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1"/>
      <c r="R17" s="11"/>
    </row>
    <row r="18" spans="2:18" s="4" customFormat="1" ht="13.5" thickBot="1" x14ac:dyDescent="0.35">
      <c r="B18" s="1"/>
      <c r="C18" s="1"/>
      <c r="D18" s="257"/>
      <c r="E18" s="27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1"/>
      <c r="R18" s="11"/>
    </row>
    <row r="19" spans="2:18" s="4" customFormat="1" ht="46.5" customHeight="1" thickTop="1" x14ac:dyDescent="0.3">
      <c r="B19" s="1"/>
      <c r="C19" s="256" t="s">
        <v>102</v>
      </c>
      <c r="D19" s="257" t="s">
        <v>5</v>
      </c>
      <c r="E19" s="273">
        <f>+Rebar!G6%</f>
        <v>0.97917872494526448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1"/>
      <c r="R19" s="11"/>
    </row>
    <row r="20" spans="2:18" s="4" customFormat="1" ht="38.25" customHeight="1" x14ac:dyDescent="0.3">
      <c r="B20" s="1"/>
      <c r="C20" s="274" t="s">
        <v>103</v>
      </c>
      <c r="D20" s="257" t="s">
        <v>14</v>
      </c>
      <c r="E20" s="275">
        <f>+'Market Share'!E8*1000</f>
        <v>30000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1"/>
      <c r="R20" s="11"/>
    </row>
    <row r="21" spans="2:18" s="28" customFormat="1" ht="38.25" customHeight="1" x14ac:dyDescent="0.3">
      <c r="B21" s="27"/>
      <c r="C21" s="276" t="s">
        <v>104</v>
      </c>
      <c r="D21" s="257" t="s">
        <v>14</v>
      </c>
      <c r="E21" s="277">
        <f>E20/E19</f>
        <v>30637.920571320607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2:18" ht="15" thickBot="1" x14ac:dyDescent="0.4">
      <c r="B22" s="1"/>
      <c r="C22" s="1"/>
      <c r="D22" s="25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2:18" ht="45.75" customHeight="1" thickTop="1" thickBot="1" x14ac:dyDescent="0.4">
      <c r="B23" s="1"/>
      <c r="C23" s="278" t="s">
        <v>17</v>
      </c>
      <c r="D23" s="257"/>
      <c r="E23" s="27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2:18" ht="34.5" customHeight="1" thickTop="1" x14ac:dyDescent="0.35">
      <c r="B24" s="1"/>
      <c r="C24" s="264" t="s">
        <v>105</v>
      </c>
      <c r="D24" s="18">
        <v>0</v>
      </c>
      <c r="E24" s="279">
        <f>+D24*E21</f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2:18" ht="34.5" customHeight="1" x14ac:dyDescent="0.35">
      <c r="B25" s="1"/>
      <c r="C25" s="264" t="s">
        <v>106</v>
      </c>
      <c r="D25" s="18">
        <v>1</v>
      </c>
      <c r="E25" s="280">
        <f>+D25*E21</f>
        <v>30637.920571320607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2:18" ht="34.5" customHeight="1" x14ac:dyDescent="0.35">
      <c r="B26" s="1"/>
      <c r="C26" s="264" t="s">
        <v>107</v>
      </c>
      <c r="D26" s="18">
        <v>0</v>
      </c>
      <c r="E26" s="280">
        <f>+D26*E21</f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2:18" ht="34.5" customHeight="1" x14ac:dyDescent="0.35">
      <c r="B27" s="1"/>
      <c r="C27" s="264" t="s">
        <v>108</v>
      </c>
      <c r="D27" s="16">
        <v>-1.1671911347607856E-2</v>
      </c>
      <c r="E27" s="280">
        <f>+D27*(E26+E25+E24)</f>
        <v>-357.60309278350513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2:18" ht="34.5" customHeight="1" x14ac:dyDescent="0.35">
      <c r="B28" s="1"/>
      <c r="C28" s="264" t="s">
        <v>29</v>
      </c>
      <c r="D28" s="257" t="s">
        <v>30</v>
      </c>
      <c r="E28" s="321">
        <v>106.20630183662952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2:18" ht="34.5" customHeight="1" x14ac:dyDescent="0.35">
      <c r="B29" s="1"/>
      <c r="C29" s="264" t="s">
        <v>31</v>
      </c>
      <c r="D29" s="257" t="s">
        <v>32</v>
      </c>
      <c r="E29" s="321">
        <v>27.662824618334774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2:18" ht="34.5" customHeight="1" x14ac:dyDescent="0.35">
      <c r="B30" s="1"/>
      <c r="C30" s="264" t="s">
        <v>109</v>
      </c>
      <c r="D30" s="257" t="s">
        <v>110</v>
      </c>
      <c r="E30" s="322">
        <f>E29/28</f>
        <v>0.98795802208338479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2:18" ht="34.5" customHeight="1" x14ac:dyDescent="0.35">
      <c r="B31" s="1"/>
      <c r="C31" s="264" t="s">
        <v>111</v>
      </c>
      <c r="D31" s="257" t="s">
        <v>32</v>
      </c>
      <c r="E31" s="321">
        <v>0.83725281207764679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2:18" ht="34.5" customHeight="1" x14ac:dyDescent="0.35">
      <c r="B32" s="1"/>
      <c r="C32" s="264" t="s">
        <v>112</v>
      </c>
      <c r="D32" s="257" t="s">
        <v>113</v>
      </c>
      <c r="E32" s="321">
        <v>1.6792739328535182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2:18" ht="34.5" customHeight="1" x14ac:dyDescent="0.35">
      <c r="B33" s="1"/>
      <c r="C33" s="264" t="s">
        <v>114</v>
      </c>
      <c r="D33" s="257" t="s">
        <v>113</v>
      </c>
      <c r="E33" s="321">
        <v>0.64308209894164581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2:18" ht="34.5" customHeight="1" x14ac:dyDescent="0.35">
      <c r="B34" s="1"/>
      <c r="C34" s="264" t="s">
        <v>115</v>
      </c>
      <c r="D34" s="257" t="s">
        <v>113</v>
      </c>
      <c r="E34" s="321">
        <v>0.64308209894164514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2:18" ht="34.5" customHeight="1" x14ac:dyDescent="0.35">
      <c r="B35" s="1"/>
      <c r="C35" s="264" t="s">
        <v>116</v>
      </c>
      <c r="D35" s="257" t="s">
        <v>113</v>
      </c>
      <c r="E35" s="281"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2:18" s="4" customFormat="1" ht="34.5" customHeight="1" x14ac:dyDescent="0.3">
      <c r="B36" s="1"/>
      <c r="C36" s="267" t="s">
        <v>117</v>
      </c>
      <c r="D36" s="257" t="s">
        <v>113</v>
      </c>
      <c r="E36" s="283">
        <v>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1"/>
      <c r="R36" s="11"/>
    </row>
    <row r="37" spans="2:18" ht="15" thickBot="1" x14ac:dyDescent="0.4">
      <c r="B37" s="1"/>
      <c r="C37" s="1"/>
      <c r="D37" s="25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2:18" ht="45.75" customHeight="1" thickTop="1" thickBot="1" x14ac:dyDescent="0.4">
      <c r="B38" s="1"/>
      <c r="C38" s="278" t="s">
        <v>118</v>
      </c>
      <c r="D38" s="257"/>
      <c r="E38" s="27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2:18" ht="33" customHeight="1" thickTop="1" x14ac:dyDescent="0.35">
      <c r="B39" s="1"/>
      <c r="C39" s="264" t="s">
        <v>119</v>
      </c>
      <c r="D39" s="257" t="s">
        <v>120</v>
      </c>
      <c r="E39" s="258">
        <v>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2:18" ht="33" customHeight="1" x14ac:dyDescent="0.35">
      <c r="B40" s="1"/>
      <c r="C40" s="264" t="s">
        <v>121</v>
      </c>
      <c r="D40" s="257" t="s">
        <v>122</v>
      </c>
      <c r="E40" s="284"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2:18" ht="33" customHeight="1" x14ac:dyDescent="0.35">
      <c r="B41" s="1"/>
      <c r="C41" s="264" t="s">
        <v>123</v>
      </c>
      <c r="D41" s="257" t="s">
        <v>124</v>
      </c>
      <c r="E41" s="275">
        <f>(E6*E39)+E40</f>
        <v>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18" ht="24.75" customHeight="1" x14ac:dyDescent="0.35">
      <c r="B42" s="1"/>
      <c r="C42" s="264" t="s">
        <v>125</v>
      </c>
      <c r="D42" s="257" t="s">
        <v>122</v>
      </c>
      <c r="E42" s="280">
        <f>+Rebar!G12*E6</f>
        <v>7110.1767394331982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2:18" ht="24.75" customHeight="1" x14ac:dyDescent="0.6">
      <c r="B43" s="1"/>
      <c r="C43" s="264" t="s">
        <v>126</v>
      </c>
      <c r="D43" s="257" t="s">
        <v>122</v>
      </c>
      <c r="E43" s="280">
        <v>0</v>
      </c>
      <c r="F43" s="1"/>
      <c r="G43" s="1"/>
      <c r="H43" s="1"/>
      <c r="I43" s="112"/>
      <c r="J43" s="1"/>
      <c r="K43" s="1"/>
      <c r="L43" s="1"/>
      <c r="M43" s="1"/>
      <c r="N43" s="1"/>
      <c r="O43" s="1"/>
      <c r="P43" s="1"/>
      <c r="Q43" s="1"/>
      <c r="R43" s="1"/>
    </row>
    <row r="44" spans="2:18" ht="24.75" customHeight="1" x14ac:dyDescent="0.35">
      <c r="B44" s="1"/>
      <c r="C44" s="264" t="s">
        <v>127</v>
      </c>
      <c r="D44" s="257" t="s">
        <v>122</v>
      </c>
      <c r="E44" s="280">
        <f>+E42</f>
        <v>7110.1767394331982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ht="24.75" customHeight="1" x14ac:dyDescent="0.35">
      <c r="B45" s="1"/>
      <c r="C45" s="264" t="s">
        <v>29</v>
      </c>
      <c r="D45" s="257" t="s">
        <v>128</v>
      </c>
      <c r="E45" s="281">
        <f>0.07*E6</f>
        <v>1.1340000000000001</v>
      </c>
      <c r="F45" s="1"/>
      <c r="G45" s="28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ht="24.75" customHeight="1" x14ac:dyDescent="0.35">
      <c r="B46" s="1"/>
      <c r="C46" s="264" t="s">
        <v>31</v>
      </c>
      <c r="D46" s="257" t="s">
        <v>129</v>
      </c>
      <c r="E46" s="281">
        <f>+E47*28/E6</f>
        <v>7.3997060924915559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ht="24.75" customHeight="1" x14ac:dyDescent="0.35">
      <c r="B47" s="1"/>
      <c r="C47" s="264" t="s">
        <v>31</v>
      </c>
      <c r="D47" s="257" t="s">
        <v>130</v>
      </c>
      <c r="E47" s="282">
        <v>4.2812585249415429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ht="24.75" customHeight="1" x14ac:dyDescent="0.35">
      <c r="B48" s="1"/>
      <c r="C48" s="264" t="s">
        <v>111</v>
      </c>
      <c r="D48" s="257" t="s">
        <v>130</v>
      </c>
      <c r="E48" s="281">
        <v>13.174887953448062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ht="24.75" customHeight="1" x14ac:dyDescent="0.35">
      <c r="B49" s="1"/>
      <c r="C49" s="264" t="s">
        <v>112</v>
      </c>
      <c r="D49" s="257" t="s">
        <v>131</v>
      </c>
      <c r="E49" s="284">
        <f>11249.0074074074/1000</f>
        <v>11.249007407407401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ht="24.75" customHeight="1" x14ac:dyDescent="0.35">
      <c r="B50" s="1"/>
      <c r="C50" s="264" t="s">
        <v>114</v>
      </c>
      <c r="D50" s="257" t="s">
        <v>122</v>
      </c>
      <c r="E50" s="284">
        <v>2.51536631403504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ht="24.75" customHeight="1" x14ac:dyDescent="0.35">
      <c r="B51" s="1"/>
      <c r="C51" s="264" t="s">
        <v>115</v>
      </c>
      <c r="D51" s="257" t="s">
        <v>122</v>
      </c>
      <c r="E51" s="281">
        <v>7.9825607729418762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ht="24.75" customHeight="1" x14ac:dyDescent="0.35">
      <c r="B52" s="1"/>
      <c r="C52" s="264" t="s">
        <v>116</v>
      </c>
      <c r="D52" s="257" t="s">
        <v>122</v>
      </c>
      <c r="E52" s="284">
        <v>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s="4" customFormat="1" ht="24.75" customHeight="1" x14ac:dyDescent="0.3">
      <c r="B53" s="1"/>
      <c r="C53" s="267" t="s">
        <v>117</v>
      </c>
      <c r="D53" s="257" t="s">
        <v>122</v>
      </c>
      <c r="E53" s="271">
        <v>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1"/>
      <c r="R53" s="11"/>
    </row>
    <row r="54" spans="2:18" ht="15" thickBot="1" x14ac:dyDescent="0.4">
      <c r="B54" s="1"/>
      <c r="C54" s="1"/>
      <c r="D54" s="25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ht="15.5" thickTop="1" thickBot="1" x14ac:dyDescent="0.4">
      <c r="B55" s="1"/>
      <c r="C55" s="286" t="s">
        <v>132</v>
      </c>
      <c r="D55" s="257"/>
      <c r="E55" s="27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ht="30" customHeight="1" thickTop="1" x14ac:dyDescent="0.35">
      <c r="B56" s="1"/>
      <c r="C56" s="264" t="s">
        <v>74</v>
      </c>
      <c r="D56" s="257" t="s">
        <v>12</v>
      </c>
      <c r="E56" s="258">
        <v>97605191.799999997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ht="30" customHeight="1" x14ac:dyDescent="0.35">
      <c r="B57" s="1"/>
      <c r="C57" s="264" t="s">
        <v>133</v>
      </c>
      <c r="D57" s="257"/>
      <c r="E57" s="287">
        <v>1667852.0055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s="4" customFormat="1" ht="30" customHeight="1" x14ac:dyDescent="0.3">
      <c r="B58" s="1"/>
      <c r="C58" s="267" t="s">
        <v>134</v>
      </c>
      <c r="D58" s="257" t="s">
        <v>12</v>
      </c>
      <c r="E58" s="271">
        <v>17918026.550000053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1"/>
      <c r="R58" s="11"/>
    </row>
    <row r="59" spans="2:18" ht="15" thickBot="1" x14ac:dyDescent="0.4">
      <c r="B59" s="1"/>
      <c r="C59" s="1"/>
      <c r="D59" s="25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s="4" customFormat="1" ht="19" thickTop="1" thickBot="1" x14ac:dyDescent="0.45">
      <c r="B60" s="114"/>
      <c r="C60" s="288" t="s">
        <v>135</v>
      </c>
      <c r="D60" s="257"/>
      <c r="E60" s="289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s="4" customFormat="1" ht="36.75" customHeight="1" thickTop="1" x14ac:dyDescent="0.4">
      <c r="B61" s="114"/>
      <c r="C61" s="264" t="s">
        <v>62</v>
      </c>
      <c r="D61" s="257" t="s">
        <v>122</v>
      </c>
      <c r="E61" s="290">
        <f>(E24*E41)/E$20</f>
        <v>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s="4" customFormat="1" ht="36.75" customHeight="1" x14ac:dyDescent="0.4">
      <c r="B62" s="114"/>
      <c r="C62" s="264" t="s">
        <v>53</v>
      </c>
      <c r="D62" s="257" t="s">
        <v>122</v>
      </c>
      <c r="E62" s="291">
        <f>(E25*E42)/E$20</f>
        <v>7261.3676730268562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s="4" customFormat="1" ht="36.75" customHeight="1" x14ac:dyDescent="0.4">
      <c r="B63" s="114"/>
      <c r="C63" s="264" t="s">
        <v>136</v>
      </c>
      <c r="D63" s="257" t="s">
        <v>122</v>
      </c>
      <c r="E63" s="292">
        <f>(E26*E43)/E$20</f>
        <v>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s="4" customFormat="1" ht="36.75" customHeight="1" x14ac:dyDescent="0.4">
      <c r="B64" s="114"/>
      <c r="C64" s="267" t="s">
        <v>137</v>
      </c>
      <c r="D64" s="257" t="s">
        <v>122</v>
      </c>
      <c r="E64" s="293">
        <f>(E27*E44)/E$20</f>
        <v>-84.754039741954998</v>
      </c>
      <c r="F64" s="1"/>
      <c r="G64" s="467">
        <f>E64/E6</f>
        <v>-5.2317308482688274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2:18" s="4" customFormat="1" ht="18.5" thickBot="1" x14ac:dyDescent="0.45">
      <c r="B65" s="114"/>
      <c r="C65" s="294"/>
      <c r="D65" s="257"/>
      <c r="E65" s="29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2:18" s="4" customFormat="1" ht="48.75" customHeight="1" thickTop="1" x14ac:dyDescent="0.4">
      <c r="B66" s="114"/>
      <c r="C66" s="296" t="s">
        <v>138</v>
      </c>
      <c r="D66" s="257" t="s">
        <v>122</v>
      </c>
      <c r="E66" s="297">
        <f>SUM(E61:E64)</f>
        <v>7176.613633284901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2:18" s="4" customFormat="1" ht="18.5" thickBot="1" x14ac:dyDescent="0.45">
      <c r="B67" s="114"/>
      <c r="C67" s="294"/>
      <c r="D67" s="257"/>
      <c r="E67" s="29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2:18" s="4" customFormat="1" ht="29.25" customHeight="1" thickTop="1" x14ac:dyDescent="0.4">
      <c r="B68" s="114"/>
      <c r="C68" s="256" t="str">
        <f>C45</f>
        <v>Electricity</v>
      </c>
      <c r="D68" s="257" t="s">
        <v>122</v>
      </c>
      <c r="E68" s="298">
        <f>E28*E45</f>
        <v>120.43794628273788</v>
      </c>
      <c r="F68" s="469">
        <f>+E68/$E$77</f>
        <v>0.43709539889535542</v>
      </c>
      <c r="G68" s="298">
        <f>+F68*$H$77</f>
        <v>0.41592070006224258</v>
      </c>
      <c r="H68" s="298">
        <f>E68-G68</f>
        <v>120.02202558267564</v>
      </c>
      <c r="I68" s="298">
        <v>121.18139039559431</v>
      </c>
      <c r="J68" s="319">
        <f>E68-I68</f>
        <v>-0.74344411285642309</v>
      </c>
      <c r="K68" s="1"/>
      <c r="L68" s="1"/>
      <c r="M68" s="1"/>
      <c r="N68" s="1"/>
      <c r="O68" s="1"/>
      <c r="P68" s="1"/>
      <c r="Q68" s="1"/>
      <c r="R68" s="1"/>
    </row>
    <row r="69" spans="2:18" s="4" customFormat="1" ht="29.25" customHeight="1" x14ac:dyDescent="0.4">
      <c r="B69" s="114"/>
      <c r="C69" s="264" t="str">
        <f t="shared" ref="C69:C75" si="0">C47</f>
        <v>Natural Gas</v>
      </c>
      <c r="D69" s="257" t="s">
        <v>122</v>
      </c>
      <c r="E69" s="299">
        <f>E29*E47</f>
        <v>118.43170372120854</v>
      </c>
      <c r="F69" s="469">
        <f t="shared" ref="F69:F75" si="1">+E69/$E$77</f>
        <v>0.42981431000453468</v>
      </c>
      <c r="G69" s="299">
        <f t="shared" ref="G69:G75" si="2">+F69*$H$77</f>
        <v>0.40899233706336646</v>
      </c>
      <c r="H69" s="299">
        <f t="shared" ref="H69:H75" si="3">E69-G69</f>
        <v>118.02271138414517</v>
      </c>
      <c r="I69" s="299">
        <v>118.43170372120854</v>
      </c>
      <c r="J69" s="319">
        <f t="shared" ref="J69:J75" si="4">E69-I69</f>
        <v>0</v>
      </c>
      <c r="K69" s="1"/>
      <c r="L69" s="1"/>
      <c r="M69" s="1"/>
      <c r="N69" s="1"/>
      <c r="O69" s="1"/>
      <c r="P69" s="1"/>
      <c r="Q69" s="1"/>
      <c r="R69" s="1"/>
    </row>
    <row r="70" spans="2:18" s="4" customFormat="1" ht="29.25" customHeight="1" x14ac:dyDescent="0.4">
      <c r="B70" s="114"/>
      <c r="C70" s="264" t="str">
        <f t="shared" si="0"/>
        <v>Recycled Water</v>
      </c>
      <c r="D70" s="257" t="s">
        <v>122</v>
      </c>
      <c r="E70" s="300">
        <f t="shared" ref="E70:E75" si="5">E31*E48</f>
        <v>11.030711987832303</v>
      </c>
      <c r="F70" s="469">
        <f t="shared" si="1"/>
        <v>4.0032843511815935E-2</v>
      </c>
      <c r="G70" s="300">
        <f t="shared" si="2"/>
        <v>3.8093487922765727E-2</v>
      </c>
      <c r="H70" s="300">
        <f t="shared" si="3"/>
        <v>10.992618499909538</v>
      </c>
      <c r="I70" s="300">
        <v>11.030711987832303</v>
      </c>
      <c r="J70" s="319">
        <f t="shared" si="4"/>
        <v>0</v>
      </c>
      <c r="K70" s="1"/>
      <c r="L70" s="1"/>
      <c r="M70" s="1"/>
      <c r="N70" s="1"/>
      <c r="O70" s="1"/>
      <c r="P70" s="1"/>
      <c r="Q70" s="1"/>
      <c r="R70" s="1"/>
    </row>
    <row r="71" spans="2:18" s="4" customFormat="1" ht="29.25" customHeight="1" x14ac:dyDescent="0.4">
      <c r="B71" s="114"/>
      <c r="C71" s="264" t="str">
        <f t="shared" si="0"/>
        <v>Tying</v>
      </c>
      <c r="D71" s="257" t="s">
        <v>122</v>
      </c>
      <c r="E71" s="301">
        <f t="shared" si="5"/>
        <v>18.890164909735386</v>
      </c>
      <c r="F71" s="469">
        <f t="shared" si="1"/>
        <v>6.8556500847634136E-2</v>
      </c>
      <c r="G71" s="301">
        <f t="shared" si="2"/>
        <v>6.5235341983529413E-2</v>
      </c>
      <c r="H71" s="301">
        <f t="shared" si="3"/>
        <v>18.824929567751855</v>
      </c>
      <c r="I71" s="301">
        <v>18.890164909735383</v>
      </c>
      <c r="J71" s="319">
        <f t="shared" si="4"/>
        <v>0</v>
      </c>
      <c r="K71" s="1"/>
      <c r="L71" s="1"/>
      <c r="M71" s="1"/>
      <c r="N71" s="1"/>
      <c r="O71" s="1"/>
      <c r="P71" s="1"/>
      <c r="Q71" s="1"/>
      <c r="R71" s="1"/>
    </row>
    <row r="72" spans="2:18" s="4" customFormat="1" ht="29.25" customHeight="1" x14ac:dyDescent="0.4">
      <c r="B72" s="114"/>
      <c r="C72" s="264" t="str">
        <f t="shared" si="0"/>
        <v>Chemicals</v>
      </c>
      <c r="D72" s="257" t="s">
        <v>122</v>
      </c>
      <c r="E72" s="300">
        <f t="shared" si="5"/>
        <v>1.6175870488367645</v>
      </c>
      <c r="F72" s="469">
        <f t="shared" si="1"/>
        <v>5.8705738364172432E-3</v>
      </c>
      <c r="G72" s="300">
        <f t="shared" si="2"/>
        <v>5.5861790949538418E-3</v>
      </c>
      <c r="H72" s="300">
        <f t="shared" si="3"/>
        <v>1.6120008697418107</v>
      </c>
      <c r="I72" s="300">
        <v>1.6175870488367645</v>
      </c>
      <c r="J72" s="319">
        <f t="shared" si="4"/>
        <v>0</v>
      </c>
      <c r="K72" s="1"/>
      <c r="L72" s="1"/>
      <c r="M72" s="1"/>
      <c r="N72" s="1"/>
      <c r="O72" s="1"/>
      <c r="P72" s="1"/>
      <c r="Q72" s="1"/>
      <c r="R72" s="1"/>
    </row>
    <row r="73" spans="2:18" s="4" customFormat="1" ht="29.25" customHeight="1" x14ac:dyDescent="0.4">
      <c r="B73" s="114"/>
      <c r="C73" s="264" t="str">
        <f t="shared" si="0"/>
        <v>Label &amp; Rings</v>
      </c>
      <c r="D73" s="257" t="s">
        <v>122</v>
      </c>
      <c r="E73" s="299">
        <f t="shared" si="5"/>
        <v>5.1334419367927033</v>
      </c>
      <c r="F73" s="469">
        <f t="shared" si="1"/>
        <v>1.8630372904242659E-2</v>
      </c>
      <c r="G73" s="299">
        <f t="shared" si="2"/>
        <v>1.7727841016712154E-2</v>
      </c>
      <c r="H73" s="299">
        <f t="shared" si="3"/>
        <v>5.1157140957759912</v>
      </c>
      <c r="I73" s="299">
        <v>5.1334419367927024</v>
      </c>
      <c r="J73" s="319">
        <f t="shared" si="4"/>
        <v>0</v>
      </c>
      <c r="K73" s="1"/>
      <c r="L73" s="1"/>
      <c r="M73" s="1"/>
      <c r="N73" s="1"/>
      <c r="O73" s="1"/>
      <c r="P73" s="1"/>
      <c r="Q73" s="1"/>
      <c r="R73" s="1"/>
    </row>
    <row r="74" spans="2:18" s="4" customFormat="1" ht="29.25" customHeight="1" x14ac:dyDescent="0.4">
      <c r="B74" s="114"/>
      <c r="C74" s="264" t="str">
        <f t="shared" si="0"/>
        <v>Sp. Parts/Oil &amp; Grease</v>
      </c>
      <c r="D74" s="257" t="s">
        <v>122</v>
      </c>
      <c r="E74" s="300">
        <f t="shared" si="5"/>
        <v>0</v>
      </c>
      <c r="F74" s="469">
        <f t="shared" si="1"/>
        <v>0</v>
      </c>
      <c r="G74" s="300">
        <f t="shared" si="2"/>
        <v>0</v>
      </c>
      <c r="H74" s="300">
        <f t="shared" si="3"/>
        <v>0</v>
      </c>
      <c r="I74" s="300">
        <v>0</v>
      </c>
      <c r="J74" s="319">
        <f t="shared" si="4"/>
        <v>0</v>
      </c>
      <c r="K74" s="1"/>
      <c r="L74" s="1"/>
      <c r="M74" s="1"/>
      <c r="N74" s="1"/>
      <c r="O74" s="1"/>
      <c r="P74" s="1"/>
      <c r="Q74" s="1"/>
      <c r="R74" s="1"/>
    </row>
    <row r="75" spans="2:18" s="4" customFormat="1" ht="29.25" customHeight="1" x14ac:dyDescent="0.4">
      <c r="B75" s="114"/>
      <c r="C75" s="267" t="str">
        <f t="shared" si="0"/>
        <v>External Services</v>
      </c>
      <c r="D75" s="257" t="s">
        <v>122</v>
      </c>
      <c r="E75" s="302">
        <f t="shared" si="5"/>
        <v>0</v>
      </c>
      <c r="F75" s="469">
        <f t="shared" si="1"/>
        <v>0</v>
      </c>
      <c r="G75" s="302">
        <f t="shared" si="2"/>
        <v>0</v>
      </c>
      <c r="H75" s="302">
        <f t="shared" si="3"/>
        <v>0</v>
      </c>
      <c r="I75" s="302">
        <v>0</v>
      </c>
      <c r="J75" s="319">
        <f t="shared" si="4"/>
        <v>0</v>
      </c>
      <c r="K75" s="1"/>
      <c r="L75" s="1"/>
      <c r="M75" s="1"/>
      <c r="N75" s="1"/>
      <c r="O75" s="1"/>
      <c r="P75" s="1"/>
      <c r="Q75" s="1"/>
      <c r="R75" s="1"/>
    </row>
    <row r="76" spans="2:18" s="4" customFormat="1" ht="18.5" thickBot="1" x14ac:dyDescent="0.45">
      <c r="B76" s="114"/>
      <c r="C76" s="294"/>
      <c r="D76" s="257"/>
      <c r="E76" s="30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2:18" s="4" customFormat="1" ht="41.25" customHeight="1" thickTop="1" x14ac:dyDescent="0.4">
      <c r="B77" s="114"/>
      <c r="C77" s="296" t="s">
        <v>139</v>
      </c>
      <c r="D77" s="257" t="s">
        <v>122</v>
      </c>
      <c r="E77" s="297">
        <f>SUM(E68:E75)</f>
        <v>275.54155588714355</v>
      </c>
      <c r="F77" s="1"/>
      <c r="G77" s="297">
        <f>16.95*E6</f>
        <v>274.58999999999997</v>
      </c>
      <c r="H77" s="319">
        <f>+E77-G77</f>
        <v>0.95155588714357009</v>
      </c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2:18" s="4" customFormat="1" ht="41.25" customHeight="1" thickBot="1" x14ac:dyDescent="0.45">
      <c r="B78" s="114"/>
      <c r="C78" s="304"/>
      <c r="D78" s="257"/>
      <c r="E78" s="30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2:18" s="4" customFormat="1" ht="18.5" thickTop="1" x14ac:dyDescent="0.4">
      <c r="B79" s="114"/>
      <c r="C79" s="305" t="s">
        <v>140</v>
      </c>
      <c r="D79" s="257"/>
      <c r="E79" s="306">
        <f>((1/$E$19)-1)*E41</f>
        <v>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2:18" s="4" customFormat="1" ht="18" x14ac:dyDescent="0.4">
      <c r="B80" s="114"/>
      <c r="C80" s="307" t="s">
        <v>141</v>
      </c>
      <c r="D80" s="257"/>
      <c r="E80" s="308">
        <f>((1/$E$19)-1)*E42</f>
        <v>151.19093359365777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2:18" s="4" customFormat="1" ht="18" x14ac:dyDescent="0.4">
      <c r="B81" s="114"/>
      <c r="C81" s="307" t="s">
        <v>142</v>
      </c>
      <c r="D81" s="257"/>
      <c r="E81" s="308">
        <f>((1/$E$19)-1)*E43</f>
        <v>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2:18" s="4" customFormat="1" ht="18" x14ac:dyDescent="0.4">
      <c r="B82" s="114"/>
      <c r="C82" s="307" t="s">
        <v>143</v>
      </c>
      <c r="D82" s="257"/>
      <c r="E82" s="308">
        <f>E64+SUM(E68:E75)</f>
        <v>190.78751614518853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2:18" s="4" customFormat="1" ht="18" x14ac:dyDescent="0.4">
      <c r="B83" s="114"/>
      <c r="C83" s="267" t="s">
        <v>144</v>
      </c>
      <c r="D83" s="257"/>
      <c r="E83" s="309">
        <f>SUM(E79:E82)*E20</f>
        <v>10259353.492165389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2:18" s="4" customFormat="1" ht="18" x14ac:dyDescent="0.4">
      <c r="B84" s="114"/>
      <c r="C84" s="294"/>
      <c r="D84" s="257"/>
      <c r="E84" s="30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2:18" s="4" customFormat="1" ht="18.5" thickBot="1" x14ac:dyDescent="0.45">
      <c r="B85" s="114"/>
      <c r="C85" s="294"/>
      <c r="D85" s="257"/>
      <c r="E85" s="30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2:18" s="4" customFormat="1" ht="18.5" thickTop="1" x14ac:dyDescent="0.4">
      <c r="B86" s="114"/>
      <c r="C86" s="305" t="s">
        <v>71</v>
      </c>
      <c r="D86" s="257" t="s">
        <v>122</v>
      </c>
      <c r="E86" s="306">
        <f>E77+E66</f>
        <v>7452.1551891720446</v>
      </c>
      <c r="F86" s="1"/>
      <c r="G86" s="298">
        <f>+E86/E6</f>
        <v>460.00957957852131</v>
      </c>
      <c r="H86" s="298"/>
      <c r="I86" s="319"/>
      <c r="J86" s="1"/>
      <c r="K86" s="1"/>
      <c r="L86" s="1"/>
      <c r="M86" s="1"/>
      <c r="N86" s="1"/>
      <c r="O86" s="1"/>
      <c r="P86" s="1"/>
      <c r="Q86" s="1"/>
      <c r="R86" s="1"/>
    </row>
    <row r="87" spans="2:18" s="4" customFormat="1" ht="18" x14ac:dyDescent="0.4">
      <c r="B87" s="114"/>
      <c r="C87" s="267" t="s">
        <v>72</v>
      </c>
      <c r="D87" s="257" t="s">
        <v>12</v>
      </c>
      <c r="E87" s="309">
        <f>E86*E20</f>
        <v>223564655.67516133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2:18" s="4" customFormat="1" ht="18.5" thickBot="1" x14ac:dyDescent="0.45">
      <c r="B88" s="114"/>
      <c r="C88" s="294"/>
      <c r="D88" s="257"/>
      <c r="E88" s="30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2:18" s="4" customFormat="1" ht="38.25" customHeight="1" thickTop="1" x14ac:dyDescent="0.4">
      <c r="B89" s="114"/>
      <c r="C89" s="256" t="s">
        <v>74</v>
      </c>
      <c r="D89" s="257" t="s">
        <v>12</v>
      </c>
      <c r="E89" s="306">
        <f>E56</f>
        <v>97605191.799999997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2:18" s="4" customFormat="1" ht="38.25" customHeight="1" x14ac:dyDescent="0.4">
      <c r="B90" s="114"/>
      <c r="C90" s="264" t="s">
        <v>75</v>
      </c>
      <c r="D90" s="257" t="s">
        <v>12</v>
      </c>
      <c r="E90" s="301">
        <f>E57</f>
        <v>1667852.0055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2:18" s="4" customFormat="1" ht="38.25" customHeight="1" x14ac:dyDescent="0.4">
      <c r="B91" s="114"/>
      <c r="C91" s="264" t="s">
        <v>76</v>
      </c>
      <c r="D91" s="257" t="s">
        <v>12</v>
      </c>
      <c r="E91" s="301">
        <f>E58</f>
        <v>17918026.550000053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2:18" s="4" customFormat="1" ht="38.25" customHeight="1" x14ac:dyDescent="0.4">
      <c r="B92" s="114"/>
      <c r="C92" s="264" t="s">
        <v>77</v>
      </c>
      <c r="D92" s="257" t="s">
        <v>122</v>
      </c>
      <c r="E92" s="301">
        <f>E89/E20</f>
        <v>3253.5063933333331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2:18" s="4" customFormat="1" ht="38.25" customHeight="1" x14ac:dyDescent="0.4">
      <c r="B93" s="114"/>
      <c r="C93" s="264" t="s">
        <v>78</v>
      </c>
      <c r="D93" s="257" t="s">
        <v>122</v>
      </c>
      <c r="E93" s="301">
        <f>E90/E20</f>
        <v>55.595066850000002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2:18" s="4" customFormat="1" ht="38.25" customHeight="1" x14ac:dyDescent="0.4">
      <c r="B94" s="114"/>
      <c r="C94" s="267" t="s">
        <v>79</v>
      </c>
      <c r="D94" s="257" t="s">
        <v>122</v>
      </c>
      <c r="E94" s="309">
        <f>E91/E20</f>
        <v>597.2675516666684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2:18" s="4" customFormat="1" ht="18.5" thickBot="1" x14ac:dyDescent="0.45">
      <c r="B95" s="114"/>
      <c r="C95" s="294"/>
      <c r="D95" s="257"/>
      <c r="E95" s="29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2:18" s="4" customFormat="1" ht="30.75" customHeight="1" thickTop="1" x14ac:dyDescent="0.4">
      <c r="B96" s="114"/>
      <c r="C96" s="310" t="s">
        <v>80</v>
      </c>
      <c r="D96" s="257" t="s">
        <v>122</v>
      </c>
      <c r="E96" s="306">
        <f>E92+E93+E94</f>
        <v>3906.3690118500017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2:18" s="4" customFormat="1" ht="30.75" customHeight="1" x14ac:dyDescent="0.4">
      <c r="B97" s="114"/>
      <c r="C97" s="311" t="s">
        <v>81</v>
      </c>
      <c r="D97" s="257" t="s">
        <v>12</v>
      </c>
      <c r="E97" s="309">
        <f>E96*E20</f>
        <v>117191070.35550006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2:18" s="4" customFormat="1" ht="18.5" thickBot="1" x14ac:dyDescent="0.45">
      <c r="B98" s="114"/>
      <c r="C98" s="294"/>
      <c r="D98" s="257"/>
      <c r="E98" s="30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2:18" s="4" customFormat="1" ht="36.75" customHeight="1" thickTop="1" x14ac:dyDescent="0.4">
      <c r="B99" s="114"/>
      <c r="C99" s="312" t="s">
        <v>145</v>
      </c>
      <c r="D99" s="257" t="s">
        <v>122</v>
      </c>
      <c r="E99" s="313">
        <f>E86+E96</f>
        <v>11358.524201022046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2:18" s="4" customFormat="1" ht="36.75" customHeight="1" x14ac:dyDescent="0.4">
      <c r="B100" s="114"/>
      <c r="C100" s="314" t="s">
        <v>146</v>
      </c>
      <c r="D100" s="257" t="s">
        <v>12</v>
      </c>
      <c r="E100" s="309">
        <f>E99*E20</f>
        <v>340755726.0306614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2:18" s="4" customFormat="1" ht="18.5" thickBot="1" x14ac:dyDescent="0.45">
      <c r="B101" s="114"/>
      <c r="C101" s="294"/>
      <c r="D101" s="257"/>
      <c r="E101" s="30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2:18" s="4" customFormat="1" ht="34.5" customHeight="1" thickTop="1" x14ac:dyDescent="0.4">
      <c r="B102" s="114"/>
      <c r="C102" s="256" t="s">
        <v>84</v>
      </c>
      <c r="D102" s="257" t="s">
        <v>5</v>
      </c>
      <c r="E102" s="315">
        <f>E100/'[1]Production Q. &amp; Sales (2)'!D78</f>
        <v>0.39453045921042257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2:18" s="4" customFormat="1" ht="34.5" customHeight="1" x14ac:dyDescent="0.4">
      <c r="B103" s="114"/>
      <c r="C103" s="264" t="s">
        <v>85</v>
      </c>
      <c r="D103" s="257" t="s">
        <v>122</v>
      </c>
      <c r="E103" s="301">
        <f>E99</f>
        <v>11358.524201022046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2:18" s="4" customFormat="1" ht="34.5" customHeight="1" x14ac:dyDescent="0.4">
      <c r="B104" s="114"/>
      <c r="C104" s="264" t="s">
        <v>86</v>
      </c>
      <c r="D104" s="257" t="s">
        <v>122</v>
      </c>
      <c r="E104" s="301">
        <f>'[1]Production Q. &amp; Sales (2)'!D78/'[1]Production Q. &amp; Sales (2)'!D67</f>
        <v>10743.1860950712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2:18" s="4" customFormat="1" ht="34.5" customHeight="1" x14ac:dyDescent="0.4">
      <c r="B105" s="114"/>
      <c r="C105" s="267" t="s">
        <v>87</v>
      </c>
      <c r="D105" s="257" t="s">
        <v>122</v>
      </c>
      <c r="E105" s="309">
        <f>E104-E103</f>
        <v>-615.33810595084651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2:18" x14ac:dyDescent="0.35">
      <c r="B106" s="1"/>
      <c r="C106" s="1"/>
      <c r="D106" s="25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2:18" x14ac:dyDescent="0.35">
      <c r="B107" s="1"/>
      <c r="C107" s="1"/>
      <c r="D107" s="25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2:18" x14ac:dyDescent="0.35">
      <c r="B108" s="1"/>
      <c r="C108" s="1"/>
      <c r="D108" s="25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2:18" x14ac:dyDescent="0.35">
      <c r="B109" s="1"/>
      <c r="C109" s="1"/>
      <c r="D109" s="25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2:18" x14ac:dyDescent="0.35">
      <c r="B110" s="1"/>
      <c r="C110" s="1"/>
      <c r="D110" s="25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2:18" x14ac:dyDescent="0.35">
      <c r="B111" s="1"/>
      <c r="C111" s="1"/>
      <c r="D111" s="25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2:18" x14ac:dyDescent="0.35">
      <c r="B112" s="1"/>
      <c r="C112" s="1"/>
      <c r="D112" s="25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2:18" x14ac:dyDescent="0.35">
      <c r="B113" s="1"/>
      <c r="C113" s="1"/>
      <c r="D113" s="25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2:18" x14ac:dyDescent="0.35">
      <c r="B114" s="1"/>
      <c r="C114" s="1"/>
      <c r="D114" s="25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2:18" x14ac:dyDescent="0.35">
      <c r="B115" s="1"/>
      <c r="C115" s="1"/>
      <c r="D115" s="25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2:18" x14ac:dyDescent="0.35">
      <c r="B116" s="1"/>
      <c r="C116" s="1"/>
      <c r="D116" s="25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2:18" x14ac:dyDescent="0.35">
      <c r="B117" s="1"/>
      <c r="C117" s="1"/>
      <c r="D117" s="25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</sheetData>
  <pageMargins left="1" right="0.25" top="0" bottom="0" header="0" footer="0"/>
  <pageSetup paperSize="8" scale="43" orientation="landscape" r:id="rId1"/>
  <headerFooter>
    <oddFooter>&amp;L&amp;F&amp;R&amp;A&amp;C&amp;"Calibri"&amp;11&amp;K000000&amp;P_x000D_&amp;1#&amp;"Calibri"&amp;10&amp;K737373EZDK Business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2D6EBD"/>
  </sheetPr>
  <dimension ref="B1:V301"/>
  <sheetViews>
    <sheetView showGridLines="0" topLeftCell="A228" zoomScaleNormal="100" workbookViewId="0">
      <selection activeCell="E247" sqref="E247:E251"/>
    </sheetView>
  </sheetViews>
  <sheetFormatPr defaultColWidth="9.1796875" defaultRowHeight="13.5" x14ac:dyDescent="0.35"/>
  <cols>
    <col min="1" max="1" width="9.1796875" style="4"/>
    <col min="2" max="2" width="2.26953125" style="4" customWidth="1"/>
    <col min="3" max="3" width="31.81640625" style="108" customWidth="1"/>
    <col min="4" max="4" width="7.81640625" style="109" customWidth="1"/>
    <col min="5" max="5" width="12.26953125" style="4" customWidth="1"/>
    <col min="6" max="6" width="4.81640625" style="4" bestFit="1" customWidth="1"/>
    <col min="7" max="7" width="12.453125" style="4" bestFit="1" customWidth="1"/>
    <col min="8" max="8" width="15.81640625" style="4" bestFit="1" customWidth="1"/>
    <col min="9" max="9" width="11.26953125" style="4" customWidth="1"/>
    <col min="10" max="16384" width="9.1796875" style="4"/>
  </cols>
  <sheetData>
    <row r="1" spans="2:22" ht="13" x14ac:dyDescent="0.3"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2:22" s="6" customFormat="1" ht="15" thickBot="1" x14ac:dyDescent="0.4">
      <c r="B2" s="2"/>
      <c r="C2" s="2"/>
      <c r="D2" s="3"/>
      <c r="E2" s="5" t="str">
        <f>'[1]EFS MS Flat'!N2</f>
        <v xml:space="preserve">Base 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14" thickTop="1" thickBot="1" x14ac:dyDescent="0.35">
      <c r="B3" s="2"/>
      <c r="C3" s="7" t="s">
        <v>0</v>
      </c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2" ht="14" thickTop="1" thickBot="1" x14ac:dyDescent="0.35">
      <c r="B4" s="2"/>
      <c r="C4" s="2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2" ht="14.5" thickTop="1" x14ac:dyDescent="0.3">
      <c r="B5" s="2"/>
      <c r="C5" s="9" t="s">
        <v>1</v>
      </c>
      <c r="D5" s="3"/>
      <c r="E5" s="10">
        <f>+Billet!D7</f>
        <v>16.2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2" ht="14" x14ac:dyDescent="0.3">
      <c r="B6" s="2"/>
      <c r="C6" s="12" t="s">
        <v>2</v>
      </c>
      <c r="D6" s="3"/>
      <c r="E6" s="1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2:22" ht="7.5" customHeight="1" thickBot="1" x14ac:dyDescent="0.35">
      <c r="B7" s="2"/>
      <c r="C7" s="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2" ht="15" thickTop="1" thickBot="1" x14ac:dyDescent="0.35">
      <c r="B8" s="2"/>
      <c r="C8" s="9" t="s">
        <v>3</v>
      </c>
      <c r="D8" s="3"/>
      <c r="E8" s="14">
        <v>1200000</v>
      </c>
      <c r="F8" s="1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2:22" ht="14.5" thickTop="1" x14ac:dyDescent="0.3">
      <c r="B9" s="2"/>
      <c r="C9" s="9" t="s">
        <v>4</v>
      </c>
      <c r="D9" s="3" t="s">
        <v>5</v>
      </c>
      <c r="E9" s="16">
        <f>E10/E8</f>
        <v>5.8333333333333334E-2</v>
      </c>
      <c r="F9" s="1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2:22" ht="14" x14ac:dyDescent="0.3">
      <c r="B10" s="2"/>
      <c r="C10" s="12" t="s">
        <v>6</v>
      </c>
      <c r="D10" s="3"/>
      <c r="E10" s="19">
        <f>'Market Share'!E9*1000</f>
        <v>70000</v>
      </c>
      <c r="F10" s="1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2:22" ht="14" x14ac:dyDescent="0.3">
      <c r="B11" s="2"/>
      <c r="C11" s="12"/>
      <c r="D11" s="3"/>
      <c r="E11" s="18"/>
      <c r="F11" s="1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2:22" ht="14" x14ac:dyDescent="0.3">
      <c r="B12" s="2"/>
      <c r="C12" s="12" t="s">
        <v>7</v>
      </c>
      <c r="D12" s="3" t="s">
        <v>5</v>
      </c>
      <c r="E12" s="16"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2" ht="14" x14ac:dyDescent="0.3">
      <c r="B13" s="2"/>
      <c r="C13" s="12" t="s">
        <v>8</v>
      </c>
      <c r="D13" s="3" t="s">
        <v>5</v>
      </c>
      <c r="E13" s="16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2:22" ht="6.75" customHeight="1" x14ac:dyDescent="0.3">
      <c r="B14" s="2"/>
      <c r="C14" s="12"/>
      <c r="D14" s="3"/>
      <c r="E14" s="1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2:22" ht="14" x14ac:dyDescent="0.3">
      <c r="B15" s="2"/>
      <c r="C15" s="12" t="s">
        <v>9</v>
      </c>
      <c r="D15" s="3" t="s">
        <v>10</v>
      </c>
      <c r="E15" s="20">
        <v>565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2:22" ht="14" x14ac:dyDescent="0.3">
      <c r="B16" s="2"/>
      <c r="C16" s="12" t="s">
        <v>11</v>
      </c>
      <c r="D16" s="3" t="s">
        <v>10</v>
      </c>
      <c r="E16" s="20">
        <v>677.69333333333338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2:20" ht="14" x14ac:dyDescent="0.3">
      <c r="B17" s="2"/>
      <c r="C17" s="12" t="s">
        <v>11</v>
      </c>
      <c r="D17" s="3" t="s">
        <v>12</v>
      </c>
      <c r="E17" s="13">
        <f>E16*E5</f>
        <v>10978.632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2:20" ht="8.25" customHeight="1" thickBot="1" x14ac:dyDescent="0.35">
      <c r="B18" s="2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2:20" ht="14.5" thickTop="1" x14ac:dyDescent="0.3">
      <c r="B19" s="2"/>
      <c r="C19" s="21" t="s">
        <v>65</v>
      </c>
      <c r="D19" s="22" t="s">
        <v>14</v>
      </c>
      <c r="E19" s="23">
        <f>+E106</f>
        <v>72297.073632874148</v>
      </c>
      <c r="F19" s="2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2:20" ht="14" x14ac:dyDescent="0.3">
      <c r="B20" s="2"/>
      <c r="C20" s="203" t="s">
        <v>193</v>
      </c>
      <c r="D20" s="22" t="s">
        <v>5</v>
      </c>
      <c r="E20" s="204">
        <f>+Billet!G17%</f>
        <v>0.87349999999999994</v>
      </c>
      <c r="F20" s="2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2:20" ht="14" x14ac:dyDescent="0.3">
      <c r="B21" s="2"/>
      <c r="C21" s="203" t="s">
        <v>194</v>
      </c>
      <c r="D21" s="22" t="s">
        <v>5</v>
      </c>
      <c r="E21" s="204">
        <f>+Billet!G18%</f>
        <v>0.98499999999999999</v>
      </c>
      <c r="F21" s="2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2:20" ht="13" x14ac:dyDescent="0.3">
      <c r="B22" s="2"/>
      <c r="C22" s="24" t="s">
        <v>195</v>
      </c>
      <c r="D22" s="22" t="s">
        <v>5</v>
      </c>
      <c r="E22" s="111">
        <f>+E20*E21</f>
        <v>0.86039749999999993</v>
      </c>
      <c r="F22" s="2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2:20" ht="13" x14ac:dyDescent="0.3">
      <c r="B23" s="2"/>
      <c r="C23" s="29" t="s">
        <v>16</v>
      </c>
      <c r="D23" s="22" t="s">
        <v>14</v>
      </c>
      <c r="E23" s="30">
        <f>E19/E22</f>
        <v>84027.526385041972</v>
      </c>
      <c r="F23" s="2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2:20" ht="9" customHeight="1" thickBot="1" x14ac:dyDescent="0.35"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2:20" ht="15" thickTop="1" thickBot="1" x14ac:dyDescent="0.35">
      <c r="B25" s="2"/>
      <c r="C25" s="31" t="s">
        <v>17</v>
      </c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2:20" thickTop="1" x14ac:dyDescent="0.3">
      <c r="B26" s="2"/>
      <c r="C26" s="24" t="s">
        <v>18</v>
      </c>
      <c r="D26" s="32">
        <f>+Billet!G15%</f>
        <v>0.63986699999999996</v>
      </c>
      <c r="E26" s="33">
        <f>+D26*$E$23</f>
        <v>53766.44122541765</v>
      </c>
      <c r="F26" s="2"/>
      <c r="G26" s="3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2:20" ht="13" x14ac:dyDescent="0.3">
      <c r="B27" s="2"/>
      <c r="C27" s="24" t="s">
        <v>19</v>
      </c>
      <c r="D27" s="32">
        <f>+Billet!G14%</f>
        <v>0.160133</v>
      </c>
      <c r="E27" s="35">
        <f>+D27*$E$23</f>
        <v>13455.579882615926</v>
      </c>
      <c r="F27" s="2"/>
      <c r="G27" s="3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2:20" ht="13" x14ac:dyDescent="0.3">
      <c r="B28" s="2"/>
      <c r="C28" s="24" t="s">
        <v>20</v>
      </c>
      <c r="D28" s="32">
        <f>+Billet!G13%</f>
        <v>0.2</v>
      </c>
      <c r="E28" s="35">
        <f>+D28*$E$23</f>
        <v>16805.505277008397</v>
      </c>
      <c r="F28" s="2"/>
      <c r="G28" s="3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2:20" ht="13" x14ac:dyDescent="0.3">
      <c r="B29" s="2"/>
      <c r="C29" s="24" t="s">
        <v>21</v>
      </c>
      <c r="D29" s="32">
        <v>0</v>
      </c>
      <c r="E29" s="35">
        <f>+D29*$E$23</f>
        <v>0</v>
      </c>
      <c r="F29" s="2"/>
      <c r="G29" s="3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2:20" ht="13" x14ac:dyDescent="0.3">
      <c r="B30" s="2"/>
      <c r="C30" s="24" t="s">
        <v>22</v>
      </c>
      <c r="D30" s="32">
        <v>0</v>
      </c>
      <c r="E30" s="35">
        <f>+D30*$E$23</f>
        <v>0</v>
      </c>
      <c r="F30" s="2"/>
      <c r="G30" s="3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2:20" ht="8.25" customHeight="1" x14ac:dyDescent="0.3">
      <c r="B31" s="2"/>
      <c r="C31" s="24"/>
      <c r="D31" s="36"/>
      <c r="E31" s="37"/>
      <c r="F31" s="2"/>
      <c r="G31" s="3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2:20" ht="13" x14ac:dyDescent="0.3">
      <c r="B32" s="2"/>
      <c r="C32" s="24" t="s">
        <v>23</v>
      </c>
      <c r="D32" s="38">
        <v>-8.0112176779990728E-3</v>
      </c>
      <c r="E32" s="39">
        <f>D32*E23</f>
        <v>-673.16280481438173</v>
      </c>
      <c r="F32" s="2"/>
      <c r="G32" s="34"/>
      <c r="H32" s="3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2:20" thickBot="1" x14ac:dyDescent="0.35">
      <c r="B33" s="2"/>
      <c r="C33" s="24"/>
      <c r="D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2:20" thickTop="1" x14ac:dyDescent="0.3">
      <c r="B34" s="2"/>
      <c r="C34" s="24" t="s">
        <v>24</v>
      </c>
      <c r="D34" s="3" t="s">
        <v>25</v>
      </c>
      <c r="E34" s="50">
        <f>0.109025912856941*1000</f>
        <v>109.02591285694101</v>
      </c>
      <c r="F34" s="40"/>
      <c r="G34" s="34"/>
      <c r="H34" s="3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2:20" ht="13" x14ac:dyDescent="0.3">
      <c r="B35" s="2"/>
      <c r="C35" s="42" t="s">
        <v>26</v>
      </c>
      <c r="D35" s="3" t="s">
        <v>25</v>
      </c>
      <c r="E35" s="51">
        <v>7.6715423918542802</v>
      </c>
      <c r="F35" s="15"/>
      <c r="G35" s="34"/>
      <c r="H35" s="3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2:20" ht="13" x14ac:dyDescent="0.3">
      <c r="B36" s="2"/>
      <c r="C36" s="24" t="s">
        <v>27</v>
      </c>
      <c r="D36" s="3" t="s">
        <v>25</v>
      </c>
      <c r="E36" s="51">
        <v>1.8285668504468275</v>
      </c>
      <c r="F36" s="15"/>
      <c r="G36" s="3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2:20" ht="13" x14ac:dyDescent="0.3">
      <c r="B37" s="2"/>
      <c r="C37" s="24" t="s">
        <v>227</v>
      </c>
      <c r="D37" s="3" t="s">
        <v>25</v>
      </c>
      <c r="E37" s="53">
        <v>1</v>
      </c>
      <c r="F37" s="15"/>
      <c r="G37" s="3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2:20" thickBot="1" x14ac:dyDescent="0.35">
      <c r="B38" s="2"/>
      <c r="C38" s="24"/>
      <c r="D38" s="3"/>
      <c r="E38" s="46"/>
      <c r="F38" s="15"/>
      <c r="G38" s="3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2:20" thickTop="1" x14ac:dyDescent="0.3">
      <c r="B39" s="2"/>
      <c r="C39" s="24" t="s">
        <v>29</v>
      </c>
      <c r="D39" s="3" t="s">
        <v>30</v>
      </c>
      <c r="E39" s="202">
        <f>+Billet!G20+15.7308917064777</f>
        <v>612.8308917064777</v>
      </c>
      <c r="F39" s="15"/>
      <c r="G39" s="34"/>
      <c r="H39" s="3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2:20" ht="13" x14ac:dyDescent="0.3">
      <c r="B40" s="2"/>
      <c r="C40" s="24" t="s">
        <v>31</v>
      </c>
      <c r="D40" s="3" t="s">
        <v>32</v>
      </c>
      <c r="E40" s="90">
        <v>14.208494921973113</v>
      </c>
      <c r="F40" s="15"/>
      <c r="G40" s="34"/>
      <c r="H40" s="3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2:20" ht="13" x14ac:dyDescent="0.3">
      <c r="B41" s="2"/>
      <c r="C41" s="24" t="s">
        <v>33</v>
      </c>
      <c r="D41" s="3" t="s">
        <v>34</v>
      </c>
      <c r="E41" s="90">
        <v>0.99468844857473848</v>
      </c>
      <c r="F41" s="15"/>
      <c r="G41" s="34"/>
      <c r="H41" s="3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2:20" ht="13" x14ac:dyDescent="0.3">
      <c r="B42" s="2"/>
      <c r="C42" s="24" t="s">
        <v>35</v>
      </c>
      <c r="D42" s="3" t="s">
        <v>32</v>
      </c>
      <c r="E42" s="90">
        <v>22.875814202139754</v>
      </c>
      <c r="F42" s="15"/>
      <c r="G42" s="34"/>
      <c r="H42" s="3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2:20" ht="13" x14ac:dyDescent="0.3">
      <c r="B43" s="2"/>
      <c r="C43" s="24" t="s">
        <v>36</v>
      </c>
      <c r="D43" s="3" t="s">
        <v>32</v>
      </c>
      <c r="E43" s="90">
        <v>1.0835797333592643</v>
      </c>
      <c r="F43" s="15"/>
      <c r="G43" s="34"/>
      <c r="H43" s="3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2:20" ht="13" x14ac:dyDescent="0.3">
      <c r="B44" s="2"/>
      <c r="C44" s="24" t="s">
        <v>226</v>
      </c>
      <c r="D44" s="3" t="s">
        <v>32</v>
      </c>
      <c r="E44" s="91">
        <v>1</v>
      </c>
      <c r="F44" s="15"/>
      <c r="G44" s="34"/>
      <c r="H44" s="3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2:20" thickBot="1" x14ac:dyDescent="0.35">
      <c r="B45" s="2"/>
      <c r="C45" s="24"/>
      <c r="D45" s="3"/>
      <c r="E45" s="15"/>
      <c r="F45" s="15"/>
      <c r="G45" s="3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2:20" thickTop="1" x14ac:dyDescent="0.3">
      <c r="B46" s="2"/>
      <c r="C46" s="42" t="s">
        <v>38</v>
      </c>
      <c r="D46" s="3" t="s">
        <v>25</v>
      </c>
      <c r="E46" s="50">
        <v>1</v>
      </c>
      <c r="F46" s="15"/>
      <c r="G46" s="3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2:20" ht="13" x14ac:dyDescent="0.3">
      <c r="B47" s="2"/>
      <c r="C47" s="49" t="s">
        <v>39</v>
      </c>
      <c r="D47" s="3" t="s">
        <v>25</v>
      </c>
      <c r="E47" s="53">
        <v>1</v>
      </c>
      <c r="F47" s="15"/>
      <c r="G47" s="3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2:20" ht="9.75" customHeight="1" thickBot="1" x14ac:dyDescent="0.35">
      <c r="B48" s="2"/>
      <c r="C48" s="2"/>
      <c r="D48" s="3"/>
      <c r="E48" s="2"/>
      <c r="F48" s="2"/>
      <c r="G48" s="3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2:20" ht="15" thickTop="1" thickBot="1" x14ac:dyDescent="0.35">
      <c r="B49" s="2"/>
      <c r="C49" s="31" t="s">
        <v>40</v>
      </c>
      <c r="D49" s="3"/>
      <c r="E49" s="2"/>
      <c r="F49" s="2"/>
      <c r="G49" s="3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2:20" thickTop="1" x14ac:dyDescent="0.3">
      <c r="B50" s="2"/>
      <c r="C50" s="24" t="s">
        <v>18</v>
      </c>
      <c r="D50" s="3" t="s">
        <v>41</v>
      </c>
      <c r="E50" s="50">
        <f>+Billet!G10</f>
        <v>300</v>
      </c>
      <c r="F50" s="15"/>
      <c r="G50" s="3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2:20" ht="13" x14ac:dyDescent="0.3">
      <c r="B51" s="2"/>
      <c r="C51" s="24" t="s">
        <v>19</v>
      </c>
      <c r="D51" s="3" t="s">
        <v>41</v>
      </c>
      <c r="E51" s="51">
        <f>+Billet!G9</f>
        <v>300</v>
      </c>
      <c r="F51" s="15"/>
      <c r="G51" s="3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2:20" ht="13" x14ac:dyDescent="0.3">
      <c r="B52" s="2"/>
      <c r="C52" s="24" t="s">
        <v>20</v>
      </c>
      <c r="D52" s="3" t="s">
        <v>41</v>
      </c>
      <c r="E52" s="51">
        <f>+Billet!G8</f>
        <v>274.66002568409777</v>
      </c>
      <c r="F52" s="15"/>
      <c r="G52" s="3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2:20" ht="13" x14ac:dyDescent="0.3">
      <c r="B53" s="2"/>
      <c r="C53" s="24" t="s">
        <v>21</v>
      </c>
      <c r="D53" s="3" t="s">
        <v>41</v>
      </c>
      <c r="E53" s="51">
        <v>0</v>
      </c>
      <c r="F53" s="15"/>
      <c r="G53" s="3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2:20" ht="13" x14ac:dyDescent="0.3">
      <c r="B54" s="2"/>
      <c r="C54" s="24" t="s">
        <v>22</v>
      </c>
      <c r="D54" s="3" t="s">
        <v>41</v>
      </c>
      <c r="E54" s="51">
        <v>0</v>
      </c>
      <c r="F54" s="15"/>
      <c r="G54" s="3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2:20" ht="8.25" customHeight="1" x14ac:dyDescent="0.3">
      <c r="B55" s="2"/>
      <c r="C55" s="24"/>
      <c r="D55" s="3"/>
      <c r="E55" s="51"/>
      <c r="F55" s="15"/>
      <c r="G55" s="3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2:20" ht="13" x14ac:dyDescent="0.3">
      <c r="B56" s="2"/>
      <c r="C56" s="24" t="s">
        <v>42</v>
      </c>
      <c r="D56" s="3" t="s">
        <v>41</v>
      </c>
      <c r="E56" s="53">
        <f>6176.5/E5</f>
        <v>381.26543209876547</v>
      </c>
      <c r="F56" s="15"/>
      <c r="G56" s="3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2:20" ht="10.5" customHeight="1" thickBot="1" x14ac:dyDescent="0.35">
      <c r="B57" s="2"/>
      <c r="C57" s="24"/>
      <c r="D57" s="3"/>
      <c r="E57" s="54"/>
      <c r="F57" s="2"/>
      <c r="G57" s="3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2:20" thickTop="1" x14ac:dyDescent="0.3">
      <c r="B58" s="2"/>
      <c r="C58" s="24" t="s">
        <v>24</v>
      </c>
      <c r="D58" s="3" t="s">
        <v>43</v>
      </c>
      <c r="E58" s="50">
        <f>5924.76704651993/E5</f>
        <v>365.72636089629196</v>
      </c>
      <c r="F58" s="15"/>
      <c r="G58" s="3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2:20" ht="13" x14ac:dyDescent="0.3">
      <c r="B59" s="2"/>
      <c r="C59" s="42" t="s">
        <v>26</v>
      </c>
      <c r="D59" s="3" t="s">
        <v>43</v>
      </c>
      <c r="E59" s="51">
        <f>16540.4227713778/E5</f>
        <v>1021.0137513196172</v>
      </c>
      <c r="F59" s="15"/>
      <c r="G59" s="3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2:20" ht="13" x14ac:dyDescent="0.3">
      <c r="B60" s="2"/>
      <c r="C60" s="24" t="s">
        <v>27</v>
      </c>
      <c r="D60" s="3" t="s">
        <v>43</v>
      </c>
      <c r="E60" s="51">
        <f>221779.653102083/E5</f>
        <v>13690.102043338456</v>
      </c>
      <c r="F60" s="15"/>
      <c r="G60" s="3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2:20" ht="13" x14ac:dyDescent="0.3">
      <c r="B61" s="2"/>
      <c r="C61" s="24" t="s">
        <v>227</v>
      </c>
      <c r="D61" s="3" t="s">
        <v>43</v>
      </c>
      <c r="E61" s="53">
        <f>63205.0332834264/E5</f>
        <v>3901.5452644090369</v>
      </c>
      <c r="F61" s="15"/>
      <c r="G61" s="3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2:20" ht="9" customHeight="1" thickBot="1" x14ac:dyDescent="0.35">
      <c r="B62" s="2"/>
      <c r="C62" s="55"/>
      <c r="D62" s="3"/>
      <c r="E62" s="56"/>
      <c r="F62" s="15"/>
      <c r="G62" s="3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2:20" thickTop="1" x14ac:dyDescent="0.3">
      <c r="B63" s="2"/>
      <c r="C63" s="24" t="s">
        <v>29</v>
      </c>
      <c r="D63" s="22" t="s">
        <v>44</v>
      </c>
      <c r="E63" s="57">
        <f>+Billet!G11</f>
        <v>7.0000000000000001E-3</v>
      </c>
      <c r="F63" s="15"/>
      <c r="G63" s="34"/>
      <c r="H63" s="34"/>
      <c r="I63" s="2"/>
      <c r="J63" s="34"/>
      <c r="K63" s="34"/>
      <c r="L63" s="2"/>
      <c r="M63" s="2"/>
      <c r="N63" s="2"/>
      <c r="O63" s="2"/>
      <c r="P63" s="2"/>
      <c r="Q63" s="2"/>
      <c r="R63" s="2"/>
      <c r="S63" s="2"/>
      <c r="T63" s="2"/>
    </row>
    <row r="64" spans="2:20" ht="13" x14ac:dyDescent="0.3">
      <c r="B64" s="2"/>
      <c r="C64" s="24" t="s">
        <v>31</v>
      </c>
      <c r="D64" s="22" t="s">
        <v>45</v>
      </c>
      <c r="E64" s="59">
        <f>4.28401851215912/E5</f>
        <v>0.26444558717031608</v>
      </c>
      <c r="F64" s="15">
        <f>E64*28</f>
        <v>7.4044764407688497</v>
      </c>
      <c r="G64" s="34"/>
      <c r="H64" s="34"/>
      <c r="I64" s="2"/>
      <c r="J64" s="34"/>
      <c r="K64" s="34"/>
      <c r="L64" s="2"/>
      <c r="M64" s="2"/>
      <c r="N64" s="2"/>
      <c r="O64" s="2"/>
      <c r="P64" s="2"/>
      <c r="Q64" s="2"/>
      <c r="R64" s="2"/>
      <c r="S64" s="2"/>
      <c r="T64" s="2"/>
    </row>
    <row r="65" spans="2:20" ht="13" x14ac:dyDescent="0.3">
      <c r="B65" s="2"/>
      <c r="C65" s="24" t="s">
        <v>33</v>
      </c>
      <c r="D65" s="22" t="s">
        <v>46</v>
      </c>
      <c r="E65" s="59">
        <f>9.1962943800284/E5</f>
        <v>0.56767249259434571</v>
      </c>
      <c r="F65" s="15"/>
      <c r="G65" s="34"/>
      <c r="H65" s="34"/>
      <c r="I65" s="2"/>
      <c r="J65" s="34"/>
      <c r="K65" s="34"/>
      <c r="L65" s="2"/>
      <c r="M65" s="2"/>
      <c r="N65" s="2"/>
      <c r="O65" s="2"/>
      <c r="P65" s="2"/>
      <c r="Q65" s="2"/>
      <c r="R65" s="2"/>
      <c r="S65" s="2"/>
      <c r="T65" s="2"/>
    </row>
    <row r="66" spans="2:20" ht="13" x14ac:dyDescent="0.3">
      <c r="B66" s="2"/>
      <c r="C66" s="24" t="s">
        <v>35</v>
      </c>
      <c r="D66" s="22" t="s">
        <v>45</v>
      </c>
      <c r="E66" s="59">
        <f>3.18254566700526/E5</f>
        <v>0.19645343623489261</v>
      </c>
      <c r="F66" s="15"/>
      <c r="G66" s="34"/>
      <c r="H66" s="34"/>
      <c r="I66" s="2"/>
      <c r="J66" s="2"/>
      <c r="K66" s="34"/>
      <c r="L66" s="2"/>
      <c r="M66" s="2"/>
      <c r="N66" s="2"/>
      <c r="O66" s="2"/>
      <c r="P66" s="2"/>
      <c r="Q66" s="2"/>
      <c r="R66" s="2"/>
      <c r="S66" s="2"/>
      <c r="T66" s="2"/>
    </row>
    <row r="67" spans="2:20" ht="13" x14ac:dyDescent="0.3">
      <c r="B67" s="2"/>
      <c r="C67" s="24" t="s">
        <v>36</v>
      </c>
      <c r="D67" s="22" t="s">
        <v>45</v>
      </c>
      <c r="E67" s="59">
        <f>8.26736178405019/E5</f>
        <v>0.51033097432408581</v>
      </c>
      <c r="F67" s="15"/>
      <c r="G67" s="34"/>
      <c r="H67" s="34"/>
      <c r="I67" s="2"/>
      <c r="J67" s="2"/>
      <c r="K67" s="34"/>
      <c r="L67" s="2"/>
      <c r="M67" s="2"/>
      <c r="N67" s="2"/>
      <c r="O67" s="2"/>
      <c r="P67" s="2"/>
      <c r="Q67" s="2"/>
      <c r="R67" s="2"/>
      <c r="S67" s="2"/>
      <c r="T67" s="2"/>
    </row>
    <row r="68" spans="2:20" ht="13" x14ac:dyDescent="0.3">
      <c r="B68" s="2"/>
      <c r="C68" s="24" t="s">
        <v>226</v>
      </c>
      <c r="D68" s="22" t="s">
        <v>45</v>
      </c>
      <c r="E68" s="60">
        <f>3.15551479378521/E5</f>
        <v>0.19478486381390187</v>
      </c>
      <c r="F68" s="15"/>
      <c r="G68" s="34"/>
      <c r="H68" s="34"/>
      <c r="I68" s="2"/>
      <c r="J68" s="2"/>
      <c r="K68" s="34"/>
      <c r="L68" s="2"/>
      <c r="M68" s="2"/>
      <c r="N68" s="2"/>
      <c r="O68" s="2"/>
      <c r="P68" s="2"/>
      <c r="Q68" s="2"/>
      <c r="R68" s="2"/>
      <c r="S68" s="2"/>
      <c r="T68" s="2"/>
    </row>
    <row r="69" spans="2:20" thickBot="1" x14ac:dyDescent="0.35">
      <c r="B69" s="2"/>
      <c r="C69" s="24"/>
      <c r="D69" s="3"/>
      <c r="E69" s="56"/>
      <c r="F69" s="15"/>
      <c r="G69" s="3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2:20" thickTop="1" x14ac:dyDescent="0.3">
      <c r="B70" s="2"/>
      <c r="C70" s="42" t="s">
        <v>38</v>
      </c>
      <c r="D70" s="3" t="s">
        <v>41</v>
      </c>
      <c r="E70" s="50">
        <v>2.3241757844129043</v>
      </c>
      <c r="F70" s="15"/>
      <c r="G70" s="34">
        <v>4.8137383661380797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2:20" ht="13" x14ac:dyDescent="0.3">
      <c r="B71" s="2"/>
      <c r="C71" s="49" t="s">
        <v>39</v>
      </c>
      <c r="D71" s="3" t="s">
        <v>41</v>
      </c>
      <c r="E71" s="53">
        <v>31.416226778238531</v>
      </c>
      <c r="F71" s="15"/>
      <c r="G71" s="3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2:20" ht="11.25" customHeight="1" thickBot="1" x14ac:dyDescent="0.35">
      <c r="B72" s="2"/>
      <c r="C72" s="2"/>
      <c r="D72" s="3"/>
      <c r="E72" s="2"/>
      <c r="F72" s="2"/>
      <c r="G72" s="3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2:20" ht="15" thickTop="1" thickBot="1" x14ac:dyDescent="0.35">
      <c r="B73" s="2"/>
      <c r="C73" s="31" t="s">
        <v>47</v>
      </c>
      <c r="D73" s="3"/>
      <c r="E73" s="2"/>
      <c r="F73" s="2"/>
      <c r="G73" s="3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2:20" thickTop="1" x14ac:dyDescent="0.3">
      <c r="B74" s="2"/>
      <c r="C74" s="24" t="s">
        <v>18</v>
      </c>
      <c r="D74" s="3" t="s">
        <v>41</v>
      </c>
      <c r="E74" s="58">
        <f>E26*E50/E$19</f>
        <v>223.1062967988633</v>
      </c>
      <c r="F74" s="63"/>
      <c r="G74" s="6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2:20" ht="13" x14ac:dyDescent="0.3">
      <c r="B75" s="2"/>
      <c r="C75" s="24" t="s">
        <v>19</v>
      </c>
      <c r="D75" s="3" t="s">
        <v>41</v>
      </c>
      <c r="E75" s="66">
        <f>E27*E51/E$19</f>
        <v>55.834541592694073</v>
      </c>
      <c r="F75" s="63"/>
      <c r="G75" s="6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2:20" ht="13" x14ac:dyDescent="0.3">
      <c r="B76" s="2"/>
      <c r="C76" s="24" t="s">
        <v>20</v>
      </c>
      <c r="D76" s="3" t="s">
        <v>41</v>
      </c>
      <c r="E76" s="67">
        <f>E28*E52/E$19</f>
        <v>63.844914864140783</v>
      </c>
      <c r="F76" s="63"/>
      <c r="G76" s="6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2:20" ht="13" x14ac:dyDescent="0.3">
      <c r="B77" s="2"/>
      <c r="C77" s="24" t="s">
        <v>21</v>
      </c>
      <c r="D77" s="3" t="s">
        <v>41</v>
      </c>
      <c r="E77" s="67">
        <f>E29*E53/E$19</f>
        <v>0</v>
      </c>
      <c r="F77" s="63"/>
      <c r="G77" s="6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2:20" ht="13" x14ac:dyDescent="0.3">
      <c r="B78" s="2"/>
      <c r="C78" s="24" t="s">
        <v>22</v>
      </c>
      <c r="D78" s="3" t="s">
        <v>41</v>
      </c>
      <c r="E78" s="67">
        <f>E30*E54/E$19</f>
        <v>0</v>
      </c>
      <c r="F78" s="63"/>
      <c r="G78" s="6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2:20" ht="8.25" customHeight="1" x14ac:dyDescent="0.3">
      <c r="B79" s="2"/>
      <c r="C79" s="24"/>
      <c r="D79" s="3"/>
      <c r="E79" s="67"/>
      <c r="F79" s="63"/>
      <c r="G79" s="6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2:20" ht="13" x14ac:dyDescent="0.3">
      <c r="B80" s="2"/>
      <c r="C80" s="24" t="s">
        <v>42</v>
      </c>
      <c r="D80" s="3" t="s">
        <v>41</v>
      </c>
      <c r="E80" s="19">
        <f>E32*E56/E$19</f>
        <v>-3.5499874995447862</v>
      </c>
      <c r="F80" s="63"/>
      <c r="G80" s="65"/>
      <c r="H80" s="2"/>
      <c r="I80" s="69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2:20" thickBot="1" x14ac:dyDescent="0.35">
      <c r="B81" s="2"/>
      <c r="C81" s="24"/>
      <c r="D81" s="3"/>
      <c r="E81" s="70"/>
      <c r="F81" s="63"/>
      <c r="G81" s="3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2:20" thickTop="1" x14ac:dyDescent="0.3">
      <c r="B82" s="2"/>
      <c r="C82" s="24" t="s">
        <v>24</v>
      </c>
      <c r="D82" s="3" t="s">
        <v>41</v>
      </c>
      <c r="E82" s="64">
        <f>E58*E34/1000</f>
        <v>39.873650352565278</v>
      </c>
      <c r="F82" s="63"/>
      <c r="G82" s="65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2:20" ht="13" x14ac:dyDescent="0.3">
      <c r="B83" s="2"/>
      <c r="C83" s="24" t="s">
        <v>26</v>
      </c>
      <c r="D83" s="3" t="s">
        <v>41</v>
      </c>
      <c r="E83" s="71">
        <f>E59*E35/1000</f>
        <v>7.8327502759146075</v>
      </c>
      <c r="F83" s="63"/>
      <c r="G83" s="65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2:20" ht="13" x14ac:dyDescent="0.3">
      <c r="B84" s="2"/>
      <c r="C84" s="24" t="s">
        <v>27</v>
      </c>
      <c r="D84" s="3" t="s">
        <v>41</v>
      </c>
      <c r="E84" s="66">
        <f>E60*E36/1000</f>
        <v>25.033266775683078</v>
      </c>
      <c r="F84" s="63"/>
      <c r="G84" s="65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2:20" ht="13" x14ac:dyDescent="0.3">
      <c r="B85" s="2"/>
      <c r="C85" s="24" t="s">
        <v>227</v>
      </c>
      <c r="D85" s="3" t="s">
        <v>41</v>
      </c>
      <c r="E85" s="68">
        <f>E61*E37/1000</f>
        <v>3.9015452644090369</v>
      </c>
      <c r="F85" s="63"/>
      <c r="G85" s="65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2:20" ht="14.5" thickBot="1" x14ac:dyDescent="0.35">
      <c r="B86" s="2"/>
      <c r="C86" s="55"/>
      <c r="D86" s="3"/>
      <c r="E86" s="63"/>
      <c r="F86" s="63"/>
      <c r="G86" s="3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2:20" thickTop="1" x14ac:dyDescent="0.3">
      <c r="B87" s="2"/>
      <c r="C87" s="24" t="s">
        <v>29</v>
      </c>
      <c r="D87" s="22" t="s">
        <v>44</v>
      </c>
      <c r="E87" s="58">
        <f t="shared" ref="E87:E92" si="0">E63*E39</f>
        <v>4.2898162419453438</v>
      </c>
      <c r="F87" s="63"/>
      <c r="G87" s="65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2:20" ht="13" x14ac:dyDescent="0.3">
      <c r="B88" s="2"/>
      <c r="C88" s="24" t="s">
        <v>31</v>
      </c>
      <c r="D88" s="22" t="s">
        <v>45</v>
      </c>
      <c r="E88" s="37">
        <f t="shared" si="0"/>
        <v>3.7573737824476341</v>
      </c>
      <c r="F88" s="63"/>
      <c r="G88" s="65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2:20" ht="13" x14ac:dyDescent="0.3">
      <c r="B89" s="2"/>
      <c r="C89" s="24" t="s">
        <v>33</v>
      </c>
      <c r="D89" s="22" t="s">
        <v>46</v>
      </c>
      <c r="E89" s="37">
        <f t="shared" si="0"/>
        <v>0.56465727095722451</v>
      </c>
      <c r="F89" s="63"/>
      <c r="G89" s="65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2:20" ht="13" x14ac:dyDescent="0.3">
      <c r="B90" s="2"/>
      <c r="C90" s="24" t="s">
        <v>35</v>
      </c>
      <c r="D90" s="22" t="s">
        <v>45</v>
      </c>
      <c r="E90" s="37">
        <f t="shared" si="0"/>
        <v>4.494032306681313</v>
      </c>
      <c r="F90" s="63"/>
      <c r="G90" s="65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2:20" ht="13" x14ac:dyDescent="0.3">
      <c r="B91" s="2"/>
      <c r="C91" s="24" t="s">
        <v>36</v>
      </c>
      <c r="D91" s="22" t="s">
        <v>45</v>
      </c>
      <c r="E91" s="37">
        <f t="shared" si="0"/>
        <v>0.5529843010830664</v>
      </c>
      <c r="F91" s="63"/>
      <c r="G91" s="65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2:20" ht="13" x14ac:dyDescent="0.3">
      <c r="B92" s="2"/>
      <c r="C92" s="24" t="s">
        <v>226</v>
      </c>
      <c r="D92" s="22" t="s">
        <v>45</v>
      </c>
      <c r="E92" s="61">
        <f t="shared" si="0"/>
        <v>0.19478486381390187</v>
      </c>
      <c r="F92" s="63"/>
      <c r="G92" s="65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2:20" thickBot="1" x14ac:dyDescent="0.35">
      <c r="B93" s="2"/>
      <c r="C93" s="24"/>
      <c r="D93" s="3"/>
      <c r="E93" s="63"/>
      <c r="F93" s="63"/>
      <c r="G93" s="6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2:20" thickTop="1" x14ac:dyDescent="0.3">
      <c r="B94" s="2"/>
      <c r="C94" s="24" t="s">
        <v>38</v>
      </c>
      <c r="D94" s="3" t="s">
        <v>41</v>
      </c>
      <c r="E94" s="74">
        <f>E70*E46</f>
        <v>2.3241757844129043</v>
      </c>
      <c r="F94" s="63"/>
      <c r="G94" s="65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2:20" ht="13" x14ac:dyDescent="0.3">
      <c r="B95" s="2"/>
      <c r="C95" s="29" t="s">
        <v>39</v>
      </c>
      <c r="D95" s="3" t="s">
        <v>41</v>
      </c>
      <c r="E95" s="72">
        <f>E71*E47</f>
        <v>31.416226778238531</v>
      </c>
      <c r="F95" s="63"/>
      <c r="G95" s="3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2:20" ht="13" x14ac:dyDescent="0.3">
      <c r="B96" s="2"/>
      <c r="C96" s="75" t="s">
        <v>48</v>
      </c>
      <c r="D96" s="76" t="s">
        <v>41</v>
      </c>
      <c r="E96" s="77">
        <f>((1/E22)-1)*$D$26*E50</f>
        <v>31.146196798863325</v>
      </c>
      <c r="F96" s="77"/>
      <c r="G96" s="3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2:20" ht="13" x14ac:dyDescent="0.3">
      <c r="B97" s="2"/>
      <c r="C97" s="75" t="s">
        <v>49</v>
      </c>
      <c r="D97" s="76" t="s">
        <v>41</v>
      </c>
      <c r="E97" s="77">
        <f>((1/E22)-1)*$D$27*E51</f>
        <v>7.7946415926940782</v>
      </c>
      <c r="F97" s="77"/>
      <c r="G97" s="3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2:20" ht="13" x14ac:dyDescent="0.3">
      <c r="B98" s="2"/>
      <c r="C98" s="75" t="s">
        <v>50</v>
      </c>
      <c r="D98" s="76" t="s">
        <v>41</v>
      </c>
      <c r="E98" s="77">
        <f>((1/E22)-1)*$D$28*E52</f>
        <v>8.9129097273212157</v>
      </c>
      <c r="F98" s="77"/>
      <c r="G98" s="3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2:20" thickBot="1" x14ac:dyDescent="0.35">
      <c r="B99" s="2"/>
      <c r="C99" s="78" t="s">
        <v>51</v>
      </c>
      <c r="D99" s="79" t="s">
        <v>41</v>
      </c>
      <c r="E99" s="80">
        <f>SUM(E80:E98)</f>
        <v>168.53902461748578</v>
      </c>
      <c r="F99" s="80"/>
      <c r="G99" s="3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2:20" ht="14.5" thickTop="1" x14ac:dyDescent="0.3">
      <c r="B100" s="2"/>
      <c r="C100" s="9" t="s">
        <v>228</v>
      </c>
      <c r="D100" s="3" t="s">
        <v>41</v>
      </c>
      <c r="E100" s="81">
        <f>SUM(E74:E80)+SUM(E82:E85)+SUM(E87:E92)+SUM(E94:E95)</f>
        <v>463.47102975430522</v>
      </c>
      <c r="F100" s="63"/>
      <c r="G100" s="62"/>
      <c r="H100" s="25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2:20" thickBot="1" x14ac:dyDescent="0.35">
      <c r="B101" s="2"/>
      <c r="C101" s="2"/>
      <c r="D101" s="22"/>
      <c r="E101" s="83"/>
      <c r="F101" s="2"/>
      <c r="G101" s="3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2:20" thickBot="1" x14ac:dyDescent="0.35">
      <c r="B102" s="2"/>
      <c r="C102" s="7" t="s">
        <v>60</v>
      </c>
      <c r="D102" s="3"/>
      <c r="E102" s="2"/>
      <c r="F102" s="2"/>
      <c r="G102" s="3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2:20" ht="14" thickTop="1" thickBot="1" x14ac:dyDescent="0.35">
      <c r="B103" s="2"/>
      <c r="C103" s="2"/>
      <c r="D103" s="3"/>
      <c r="E103" s="2"/>
      <c r="F103" s="2"/>
      <c r="G103" s="3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2:20" ht="14.5" thickTop="1" x14ac:dyDescent="0.3">
      <c r="B104" s="2"/>
      <c r="C104" s="21" t="s">
        <v>61</v>
      </c>
      <c r="D104" s="22" t="s">
        <v>14</v>
      </c>
      <c r="E104" s="23">
        <f>+E10</f>
        <v>70000</v>
      </c>
      <c r="F104" s="13"/>
      <c r="G104" s="3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2:20" ht="13" x14ac:dyDescent="0.3">
      <c r="B105" s="2"/>
      <c r="C105" s="24" t="s">
        <v>15</v>
      </c>
      <c r="D105" s="22" t="s">
        <v>5</v>
      </c>
      <c r="E105" s="25">
        <f>+Rebar!H6%</f>
        <v>0.96822729444709299</v>
      </c>
      <c r="F105" s="26"/>
      <c r="G105" s="3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2:20" ht="13" x14ac:dyDescent="0.3">
      <c r="B106" s="2"/>
      <c r="C106" s="24" t="s">
        <v>53</v>
      </c>
      <c r="D106" s="16">
        <v>1</v>
      </c>
      <c r="E106" s="43">
        <f>E104/E105*D106</f>
        <v>72297.073632874148</v>
      </c>
      <c r="F106" s="83"/>
      <c r="G106" s="34"/>
      <c r="H106" s="1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2:20" ht="13" x14ac:dyDescent="0.3">
      <c r="B107" s="2"/>
      <c r="C107" s="24" t="s">
        <v>192</v>
      </c>
      <c r="D107" s="16">
        <v>0</v>
      </c>
      <c r="E107" s="43">
        <f>E104/E105*D107</f>
        <v>0</v>
      </c>
      <c r="F107" s="83"/>
      <c r="G107" s="34"/>
      <c r="H107" s="1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2:20" ht="13" x14ac:dyDescent="0.3">
      <c r="B108" s="2"/>
      <c r="C108" s="29" t="s">
        <v>62</v>
      </c>
      <c r="D108" s="16">
        <v>0</v>
      </c>
      <c r="E108" s="43">
        <f>E104/E105*D108</f>
        <v>0</v>
      </c>
      <c r="F108" s="22"/>
      <c r="G108" s="34"/>
      <c r="H108" s="1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2:20" ht="13.5" customHeight="1" thickBot="1" x14ac:dyDescent="0.35">
      <c r="B109" s="2"/>
      <c r="C109" s="2"/>
      <c r="D109" s="3"/>
      <c r="E109" s="13"/>
      <c r="F109" s="2"/>
      <c r="G109" s="3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2:20" ht="15" thickTop="1" thickBot="1" x14ac:dyDescent="0.35">
      <c r="B110" s="2"/>
      <c r="C110" s="31" t="s">
        <v>17</v>
      </c>
      <c r="D110" s="3"/>
      <c r="E110" s="2"/>
      <c r="F110" s="2"/>
      <c r="G110" s="3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2:20" ht="15" customHeight="1" thickTop="1" x14ac:dyDescent="0.3">
      <c r="B111" s="2"/>
      <c r="C111" s="24" t="s">
        <v>55</v>
      </c>
      <c r="D111" s="87">
        <v>-2.1355601084888001E-2</v>
      </c>
      <c r="E111" s="33">
        <f>+D111*SUM(E106:E108)</f>
        <v>-1543.9474641084348</v>
      </c>
      <c r="F111" s="2"/>
      <c r="G111" s="3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2:20" ht="13" x14ac:dyDescent="0.3">
      <c r="B112" s="2"/>
      <c r="C112" s="24" t="s">
        <v>56</v>
      </c>
      <c r="D112" s="87">
        <v>0</v>
      </c>
      <c r="E112" s="39">
        <v>0</v>
      </c>
      <c r="F112" s="2"/>
      <c r="G112" s="3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2:20" thickBot="1" x14ac:dyDescent="0.35">
      <c r="B113" s="2"/>
      <c r="C113" s="24"/>
      <c r="D113" s="3"/>
      <c r="F113" s="2"/>
      <c r="G113" s="3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2:20" thickTop="1" x14ac:dyDescent="0.3">
      <c r="B114" s="2"/>
      <c r="C114" s="24" t="s">
        <v>26</v>
      </c>
      <c r="D114" s="22" t="s">
        <v>25</v>
      </c>
      <c r="E114" s="88">
        <v>0</v>
      </c>
      <c r="F114" s="26"/>
      <c r="G114" s="3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2:20" thickBot="1" x14ac:dyDescent="0.35">
      <c r="B115" s="2"/>
      <c r="C115" s="24"/>
      <c r="D115" s="3"/>
      <c r="E115" s="46"/>
      <c r="F115" s="15"/>
      <c r="G115" s="3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2:20" thickTop="1" x14ac:dyDescent="0.3">
      <c r="B116" s="2"/>
      <c r="C116" s="24" t="s">
        <v>29</v>
      </c>
      <c r="D116" s="3" t="s">
        <v>30</v>
      </c>
      <c r="E116" s="47">
        <v>104.11270867186015</v>
      </c>
      <c r="F116" s="15"/>
      <c r="G116" s="3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2:20" ht="13" x14ac:dyDescent="0.3">
      <c r="B117" s="2"/>
      <c r="C117" s="24" t="s">
        <v>31</v>
      </c>
      <c r="D117" s="3" t="s">
        <v>32</v>
      </c>
      <c r="E117" s="43">
        <v>29.333685695821817</v>
      </c>
      <c r="F117" s="15"/>
      <c r="G117" s="3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2:20" ht="13" x14ac:dyDescent="0.3">
      <c r="B118" s="2"/>
      <c r="C118" s="24" t="s">
        <v>33</v>
      </c>
      <c r="D118" s="3" t="s">
        <v>34</v>
      </c>
      <c r="E118" s="45">
        <v>0.52882891416433009</v>
      </c>
      <c r="F118" s="15"/>
      <c r="G118" s="3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2:20" thickBot="1" x14ac:dyDescent="0.35">
      <c r="B119" s="2"/>
      <c r="C119" s="24"/>
      <c r="D119" s="3"/>
      <c r="E119" s="89"/>
      <c r="F119" s="15"/>
      <c r="G119" s="3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2:20" thickTop="1" x14ac:dyDescent="0.3">
      <c r="B120" s="2"/>
      <c r="C120" s="24" t="s">
        <v>243</v>
      </c>
      <c r="D120" s="3" t="s">
        <v>63</v>
      </c>
      <c r="E120" s="90">
        <v>1</v>
      </c>
      <c r="F120" s="15"/>
      <c r="G120" s="3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2:20" ht="13" x14ac:dyDescent="0.3">
      <c r="B121" s="2"/>
      <c r="C121" s="24" t="s">
        <v>226</v>
      </c>
      <c r="D121" s="3" t="s">
        <v>63</v>
      </c>
      <c r="E121" s="90">
        <v>1</v>
      </c>
      <c r="F121" s="15"/>
      <c r="G121" s="3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2:20" ht="13" x14ac:dyDescent="0.3">
      <c r="B122" s="2"/>
      <c r="C122" s="29" t="s">
        <v>112</v>
      </c>
      <c r="D122" s="3" t="s">
        <v>63</v>
      </c>
      <c r="E122" s="91">
        <v>1.4443874184030443</v>
      </c>
      <c r="F122" s="15"/>
      <c r="G122" s="3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2:20" ht="24" customHeight="1" thickBot="1" x14ac:dyDescent="0.35">
      <c r="B123" s="2"/>
      <c r="C123" s="2"/>
      <c r="D123" s="3"/>
      <c r="E123" s="2"/>
      <c r="F123" s="2"/>
      <c r="G123" s="3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2:20" ht="15" thickTop="1" thickBot="1" x14ac:dyDescent="0.35">
      <c r="B124" s="2"/>
      <c r="C124" s="31" t="s">
        <v>40</v>
      </c>
      <c r="D124" s="3"/>
      <c r="E124" s="2"/>
      <c r="F124" s="2"/>
      <c r="G124" s="3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2:20" thickTop="1" x14ac:dyDescent="0.3">
      <c r="B125" s="2"/>
      <c r="C125" s="24" t="s">
        <v>65</v>
      </c>
      <c r="D125" s="3" t="s">
        <v>41</v>
      </c>
      <c r="E125" s="58">
        <f>+Rebar!H12</f>
        <v>463.47102975430528</v>
      </c>
      <c r="F125" s="2"/>
      <c r="G125" s="3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2:20" ht="13" x14ac:dyDescent="0.3">
      <c r="B126" s="2"/>
      <c r="C126" s="24" t="s">
        <v>192</v>
      </c>
      <c r="D126" s="3"/>
      <c r="E126" s="37"/>
      <c r="F126" s="2"/>
      <c r="G126" s="3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2:20" ht="13" x14ac:dyDescent="0.3">
      <c r="B127" s="2"/>
      <c r="C127" s="24" t="s">
        <v>66</v>
      </c>
      <c r="D127" s="3" t="s">
        <v>41</v>
      </c>
      <c r="E127" s="51">
        <v>0</v>
      </c>
      <c r="F127" s="2"/>
      <c r="G127" s="3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2:20" ht="8.25" customHeight="1" x14ac:dyDescent="0.3">
      <c r="B128" s="2"/>
      <c r="C128" s="24"/>
      <c r="D128" s="3"/>
      <c r="E128" s="37"/>
      <c r="F128" s="2"/>
      <c r="G128" s="3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2:20" ht="14.25" customHeight="1" x14ac:dyDescent="0.3">
      <c r="B129" s="2"/>
      <c r="C129" s="24" t="s">
        <v>55</v>
      </c>
      <c r="D129" s="3" t="s">
        <v>41</v>
      </c>
      <c r="E129" s="35">
        <v>358.62619219348784</v>
      </c>
      <c r="F129" s="15"/>
      <c r="G129" s="3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2:20" ht="13" x14ac:dyDescent="0.3">
      <c r="B130" s="2"/>
      <c r="C130" s="24" t="s">
        <v>56</v>
      </c>
      <c r="D130" s="3" t="s">
        <v>41</v>
      </c>
      <c r="E130" s="45">
        <v>0</v>
      </c>
      <c r="F130" s="15"/>
      <c r="G130" s="3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2:20" ht="10.5" customHeight="1" thickBot="1" x14ac:dyDescent="0.35">
      <c r="B131" s="2"/>
      <c r="C131" s="24"/>
      <c r="D131" s="3"/>
      <c r="E131" s="92"/>
      <c r="F131" s="15"/>
      <c r="G131" s="3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2:20" thickTop="1" x14ac:dyDescent="0.3">
      <c r="B132" s="2"/>
      <c r="C132" s="24" t="s">
        <v>26</v>
      </c>
      <c r="D132" s="3" t="s">
        <v>43</v>
      </c>
      <c r="E132" s="94">
        <v>0</v>
      </c>
      <c r="F132" s="15"/>
      <c r="G132" s="3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2:20" ht="9" customHeight="1" thickBot="1" x14ac:dyDescent="0.35">
      <c r="B133" s="2"/>
      <c r="C133" s="55"/>
      <c r="D133" s="3"/>
      <c r="E133" s="15"/>
      <c r="F133" s="15"/>
      <c r="G133" s="3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2:20" thickTop="1" x14ac:dyDescent="0.3">
      <c r="B134" s="2"/>
      <c r="C134" s="24" t="s">
        <v>29</v>
      </c>
      <c r="D134" s="22" t="s">
        <v>44</v>
      </c>
      <c r="E134" s="57">
        <f>+E63</f>
        <v>7.0000000000000001E-3</v>
      </c>
      <c r="F134" s="15"/>
      <c r="G134" s="3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2:20" ht="13" x14ac:dyDescent="0.3">
      <c r="B135" s="2"/>
      <c r="C135" s="24" t="s">
        <v>31</v>
      </c>
      <c r="D135" s="22" t="s">
        <v>45</v>
      </c>
      <c r="E135" s="51">
        <f>+E64</f>
        <v>0.26444558717031608</v>
      </c>
      <c r="F135" s="15"/>
      <c r="G135" s="3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2:20" ht="13" x14ac:dyDescent="0.3">
      <c r="B136" s="2"/>
      <c r="C136" s="24" t="s">
        <v>33</v>
      </c>
      <c r="D136" s="22" t="s">
        <v>46</v>
      </c>
      <c r="E136" s="53">
        <f>+E65</f>
        <v>0.56767249259434571</v>
      </c>
      <c r="F136" s="15"/>
      <c r="G136" s="3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2:20" thickBot="1" x14ac:dyDescent="0.35">
      <c r="B137" s="2"/>
      <c r="C137" s="24"/>
      <c r="D137" s="3"/>
      <c r="E137" s="89"/>
      <c r="F137" s="15"/>
      <c r="G137" s="3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2:20" thickTop="1" x14ac:dyDescent="0.3">
      <c r="B138" s="2"/>
      <c r="C138" s="24" t="s">
        <v>243</v>
      </c>
      <c r="D138" s="3" t="s">
        <v>41</v>
      </c>
      <c r="E138" s="252">
        <f>14.3390542803325/E5</f>
        <v>0.88512680742793215</v>
      </c>
      <c r="F138" s="15"/>
      <c r="G138" s="3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2:20" ht="13" x14ac:dyDescent="0.3">
      <c r="B139" s="2"/>
      <c r="C139" s="24" t="s">
        <v>226</v>
      </c>
      <c r="D139" s="3" t="s">
        <v>41</v>
      </c>
      <c r="E139" s="43">
        <v>4.3469005796650197</v>
      </c>
      <c r="F139" s="15"/>
      <c r="G139" s="3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2:20" ht="13" x14ac:dyDescent="0.3">
      <c r="B140" s="2"/>
      <c r="C140" s="29" t="s">
        <v>112</v>
      </c>
      <c r="D140" s="3" t="s">
        <v>41</v>
      </c>
      <c r="E140" s="45">
        <f>10406.4871874219/E5</f>
        <v>642.37575230999391</v>
      </c>
      <c r="F140" s="15"/>
      <c r="G140" s="3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2:20" ht="13.5" customHeight="1" thickBot="1" x14ac:dyDescent="0.35">
      <c r="B141" s="2"/>
      <c r="C141" s="2"/>
      <c r="D141" s="3"/>
      <c r="E141" s="2"/>
      <c r="F141" s="2"/>
      <c r="G141" s="3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2:20" ht="15" thickTop="1" thickBot="1" x14ac:dyDescent="0.35">
      <c r="B142" s="2"/>
      <c r="C142" s="31" t="s">
        <v>47</v>
      </c>
      <c r="D142" s="3"/>
      <c r="E142" s="2"/>
      <c r="F142" s="2"/>
      <c r="G142" s="3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2:20" thickTop="1" x14ac:dyDescent="0.3">
      <c r="B143" s="2"/>
      <c r="C143" s="24" t="s">
        <v>53</v>
      </c>
      <c r="D143" s="3" t="s">
        <v>41</v>
      </c>
      <c r="E143" s="95">
        <f>E125*E106/E104</f>
        <v>478.67998806930018</v>
      </c>
      <c r="F143" s="2"/>
      <c r="G143" s="3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2:20" ht="13" x14ac:dyDescent="0.3">
      <c r="B144" s="2"/>
      <c r="C144" s="24" t="s">
        <v>62</v>
      </c>
      <c r="D144" s="3" t="s">
        <v>41</v>
      </c>
      <c r="E144" s="96">
        <f>E108*E127/E104</f>
        <v>0</v>
      </c>
      <c r="F144" s="2"/>
      <c r="G144" s="3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2:20" ht="8.25" customHeight="1" x14ac:dyDescent="0.3">
      <c r="B145" s="2"/>
      <c r="C145" s="24"/>
      <c r="D145" s="3"/>
      <c r="E145" s="96"/>
      <c r="F145" s="2"/>
      <c r="G145" s="3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2:20" ht="12.75" customHeight="1" x14ac:dyDescent="0.3">
      <c r="B146" s="2"/>
      <c r="C146" s="24" t="s">
        <v>55</v>
      </c>
      <c r="D146" s="3" t="s">
        <v>41</v>
      </c>
      <c r="E146" s="96">
        <f>E111*E129/E$104</f>
        <v>-7.9099999999999966</v>
      </c>
      <c r="F146" s="2"/>
      <c r="G146" s="3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2:20" ht="13" x14ac:dyDescent="0.3">
      <c r="B147" s="2"/>
      <c r="C147" s="24" t="s">
        <v>56</v>
      </c>
      <c r="D147" s="3" t="s">
        <v>41</v>
      </c>
      <c r="E147" s="97">
        <f>E112*E130/E$104</f>
        <v>0</v>
      </c>
      <c r="F147" s="2"/>
      <c r="G147" s="3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2:20" thickBot="1" x14ac:dyDescent="0.35">
      <c r="B148" s="2"/>
      <c r="C148" s="24"/>
      <c r="D148" s="3"/>
      <c r="E148" s="54"/>
      <c r="F148" s="2"/>
      <c r="G148" s="3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2:20" thickTop="1" x14ac:dyDescent="0.3">
      <c r="B149" s="2"/>
      <c r="C149" s="24" t="s">
        <v>26</v>
      </c>
      <c r="D149" s="3" t="s">
        <v>41</v>
      </c>
      <c r="E149" s="98">
        <f>E132*E114/1000</f>
        <v>0</v>
      </c>
      <c r="F149" s="2"/>
      <c r="G149" s="3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2:20" ht="14.5" thickBot="1" x14ac:dyDescent="0.35">
      <c r="B150" s="2"/>
      <c r="C150" s="55"/>
      <c r="D150" s="3"/>
      <c r="E150" s="62"/>
      <c r="F150" s="2"/>
      <c r="G150" s="3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2:20" thickTop="1" x14ac:dyDescent="0.3">
      <c r="B151" s="2"/>
      <c r="C151" s="24" t="s">
        <v>29</v>
      </c>
      <c r="D151" s="22" t="s">
        <v>44</v>
      </c>
      <c r="E151" s="95">
        <f>E134*E116</f>
        <v>0.72878896070302102</v>
      </c>
      <c r="F151" s="2"/>
      <c r="G151" s="3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2:20" ht="13" x14ac:dyDescent="0.3">
      <c r="B152" s="2"/>
      <c r="C152" s="24" t="s">
        <v>31</v>
      </c>
      <c r="D152" s="22" t="s">
        <v>45</v>
      </c>
      <c r="E152" s="96">
        <f>E135*E117</f>
        <v>7.7571637377011022</v>
      </c>
      <c r="F152" s="2"/>
      <c r="G152" s="3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2:20" ht="13" x14ac:dyDescent="0.3">
      <c r="B153" s="2"/>
      <c r="C153" s="24" t="s">
        <v>33</v>
      </c>
      <c r="D153" s="22" t="s">
        <v>46</v>
      </c>
      <c r="E153" s="97">
        <f>E136*E118</f>
        <v>0.30020162785962656</v>
      </c>
      <c r="F153" s="2"/>
      <c r="G153" s="3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2:20" thickBot="1" x14ac:dyDescent="0.35">
      <c r="B154" s="2"/>
      <c r="C154" s="24"/>
      <c r="D154" s="3"/>
      <c r="E154" s="99"/>
      <c r="F154" s="2"/>
      <c r="G154" s="3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2:20" thickTop="1" x14ac:dyDescent="0.3">
      <c r="B155" s="2"/>
      <c r="C155" s="24" t="s">
        <v>243</v>
      </c>
      <c r="D155" s="3" t="s">
        <v>41</v>
      </c>
      <c r="E155" s="96">
        <f>E138*E120</f>
        <v>0.88512680742793215</v>
      </c>
      <c r="F155" s="2"/>
      <c r="G155" s="3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2:20" ht="13" x14ac:dyDescent="0.3">
      <c r="B156" s="2"/>
      <c r="C156" s="24" t="s">
        <v>226</v>
      </c>
      <c r="D156" s="3" t="s">
        <v>41</v>
      </c>
      <c r="E156" s="96">
        <f>E139*E121</f>
        <v>4.3469005796650197</v>
      </c>
      <c r="F156" s="2"/>
      <c r="G156" s="3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2:20" ht="13" x14ac:dyDescent="0.3">
      <c r="B157" s="2"/>
      <c r="C157" s="29" t="s">
        <v>112</v>
      </c>
      <c r="D157" s="3" t="s">
        <v>41</v>
      </c>
      <c r="E157" s="97">
        <f>E140*E122/1000</f>
        <v>0.9278394545237455</v>
      </c>
      <c r="F157" s="2"/>
      <c r="G157" s="3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2:20" ht="13" x14ac:dyDescent="0.3">
      <c r="B158" s="2"/>
      <c r="C158" s="100" t="s">
        <v>68</v>
      </c>
      <c r="D158" s="76" t="s">
        <v>41</v>
      </c>
      <c r="E158" s="101">
        <f>((1/E105)-1)*$D$106*E125</f>
        <v>15.208958314994899</v>
      </c>
      <c r="F158" s="101"/>
      <c r="G158" s="3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2:20" ht="13" x14ac:dyDescent="0.3">
      <c r="B159" s="2"/>
      <c r="C159" s="100" t="s">
        <v>69</v>
      </c>
      <c r="D159" s="76" t="s">
        <v>41</v>
      </c>
      <c r="E159" s="101">
        <f>((1/E105)-1)*$D$108*E127</f>
        <v>0</v>
      </c>
      <c r="F159" s="101"/>
      <c r="G159" s="3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2:20" thickBot="1" x14ac:dyDescent="0.35">
      <c r="B160" s="2"/>
      <c r="C160" s="78" t="s">
        <v>70</v>
      </c>
      <c r="D160" s="79" t="s">
        <v>41</v>
      </c>
      <c r="E160" s="102">
        <f>SUM(E146:E159)</f>
        <v>22.244979482875351</v>
      </c>
      <c r="F160" s="102"/>
      <c r="G160" s="3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2:20" ht="14.5" thickTop="1" x14ac:dyDescent="0.3">
      <c r="B161" s="2"/>
      <c r="C161" s="21" t="s">
        <v>71</v>
      </c>
      <c r="D161" s="22" t="s">
        <v>41</v>
      </c>
      <c r="E161" s="58">
        <f>SUM(E143:E147)+SUM(E149:E149)+SUM(E151:E153)+SUM(E155:E157)</f>
        <v>485.71600923718063</v>
      </c>
      <c r="F161" s="103"/>
      <c r="G161" s="34">
        <v>451.21</v>
      </c>
      <c r="H161" s="62">
        <f>G161-E161</f>
        <v>-34.506009237180649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2:20" ht="13" x14ac:dyDescent="0.3">
      <c r="B162" s="2"/>
      <c r="C162" s="29" t="s">
        <v>72</v>
      </c>
      <c r="D162" s="22" t="s">
        <v>73</v>
      </c>
      <c r="E162" s="30">
        <f>E161*E104</f>
        <v>34000120.646602646</v>
      </c>
      <c r="F162" s="22"/>
      <c r="G162" s="3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2:20" thickBot="1" x14ac:dyDescent="0.35">
      <c r="B163" s="2"/>
      <c r="C163" s="2"/>
      <c r="D163" s="22"/>
      <c r="E163" s="2"/>
      <c r="F163" s="2"/>
      <c r="G163" s="3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2:20" thickTop="1" x14ac:dyDescent="0.3">
      <c r="B164" s="2"/>
      <c r="C164" s="104" t="s">
        <v>74</v>
      </c>
      <c r="D164" s="22" t="s">
        <v>73</v>
      </c>
      <c r="E164" s="41">
        <f>F164*'Fixed Cost'!G46*1000000</f>
        <v>1225000</v>
      </c>
      <c r="F164" s="394">
        <v>0.5</v>
      </c>
      <c r="G164" s="3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2:20" ht="13" x14ac:dyDescent="0.3">
      <c r="B165" s="2"/>
      <c r="C165" s="24" t="s">
        <v>75</v>
      </c>
      <c r="D165" s="22" t="s">
        <v>73</v>
      </c>
      <c r="E165" s="44">
        <f>'Fixed Cost'!G49*1000000</f>
        <v>130000</v>
      </c>
      <c r="F165" s="26"/>
      <c r="G165" s="3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2:20" ht="13" x14ac:dyDescent="0.3">
      <c r="B166" s="2"/>
      <c r="C166" s="24" t="s">
        <v>76</v>
      </c>
      <c r="D166" s="22" t="s">
        <v>73</v>
      </c>
      <c r="E166" s="44">
        <f>F166*'Fixed Cost'!G46*1000000</f>
        <v>1225000</v>
      </c>
      <c r="F166" s="394">
        <v>0.5</v>
      </c>
      <c r="G166" s="3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2:20" ht="13" x14ac:dyDescent="0.3">
      <c r="B167" s="2"/>
      <c r="C167" s="24" t="s">
        <v>77</v>
      </c>
      <c r="D167" s="22" t="s">
        <v>41</v>
      </c>
      <c r="E167" s="52">
        <f>E164/E104</f>
        <v>17.5</v>
      </c>
      <c r="F167" s="22"/>
      <c r="G167" s="3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2:20" ht="13" x14ac:dyDescent="0.3">
      <c r="B168" s="2"/>
      <c r="C168" s="24" t="s">
        <v>78</v>
      </c>
      <c r="D168" s="22" t="s">
        <v>41</v>
      </c>
      <c r="E168" s="52">
        <f>E165/E104</f>
        <v>1.8571428571428572</v>
      </c>
      <c r="F168" s="22"/>
      <c r="G168" s="3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2:20" ht="13" x14ac:dyDescent="0.3">
      <c r="B169" s="2"/>
      <c r="C169" s="29" t="s">
        <v>79</v>
      </c>
      <c r="D169" s="22" t="s">
        <v>41</v>
      </c>
      <c r="E169" s="30">
        <f>E166/E104</f>
        <v>17.5</v>
      </c>
      <c r="F169" s="22"/>
      <c r="G169" s="3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2:20" thickBot="1" x14ac:dyDescent="0.35">
      <c r="B170" s="2"/>
      <c r="C170" s="2"/>
      <c r="D170" s="22"/>
      <c r="E170" s="83"/>
      <c r="F170" s="22"/>
      <c r="G170" s="3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2:20" ht="14.5" thickTop="1" x14ac:dyDescent="0.3">
      <c r="B171" s="2"/>
      <c r="C171" s="21" t="s">
        <v>80</v>
      </c>
      <c r="D171" s="22" t="s">
        <v>41</v>
      </c>
      <c r="E171" s="23">
        <f>SUM(E167:E169)</f>
        <v>36.857142857142861</v>
      </c>
      <c r="F171" s="22"/>
      <c r="G171" s="3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2:20" ht="13" x14ac:dyDescent="0.3">
      <c r="B172" s="2"/>
      <c r="C172" s="29" t="s">
        <v>81</v>
      </c>
      <c r="D172" s="22" t="s">
        <v>73</v>
      </c>
      <c r="E172" s="30">
        <f>E171*E104</f>
        <v>2580000.0000000005</v>
      </c>
      <c r="F172" s="22"/>
      <c r="G172" s="3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2:20" thickBot="1" x14ac:dyDescent="0.35">
      <c r="B173" s="2"/>
      <c r="C173" s="2"/>
      <c r="D173" s="22"/>
      <c r="E173" s="13"/>
      <c r="F173" s="22"/>
      <c r="G173" s="3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2:20" ht="14.5" thickTop="1" x14ac:dyDescent="0.3">
      <c r="B174" s="2"/>
      <c r="C174" s="21" t="s">
        <v>82</v>
      </c>
      <c r="D174" s="22" t="s">
        <v>41</v>
      </c>
      <c r="E174" s="58">
        <f>E171+E161</f>
        <v>522.57315209432352</v>
      </c>
      <c r="F174" s="22"/>
      <c r="G174" s="3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2:20" ht="13" x14ac:dyDescent="0.3">
      <c r="B175" s="2"/>
      <c r="C175" s="29" t="s">
        <v>83</v>
      </c>
      <c r="D175" s="22" t="s">
        <v>73</v>
      </c>
      <c r="E175" s="30">
        <f>E174*E10</f>
        <v>36580120.646602646</v>
      </c>
      <c r="F175" s="22"/>
      <c r="G175" s="3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2:20" thickBot="1" x14ac:dyDescent="0.35">
      <c r="B176" s="2"/>
      <c r="C176" s="2"/>
      <c r="D176" s="22"/>
      <c r="E176" s="13"/>
      <c r="F176" s="22"/>
      <c r="G176" s="3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2:20" thickTop="1" x14ac:dyDescent="0.3">
      <c r="B177" s="2"/>
      <c r="C177" s="104" t="s">
        <v>84</v>
      </c>
      <c r="D177" s="22" t="s">
        <v>5</v>
      </c>
      <c r="E177" s="105">
        <f>E175/'[1]Production Q. &amp; Sales (2)'!D17</f>
        <v>0.18230566718125416</v>
      </c>
      <c r="F177" s="22"/>
      <c r="G177" s="3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2:20" ht="13" x14ac:dyDescent="0.3">
      <c r="B178" s="2"/>
      <c r="C178" s="24" t="s">
        <v>85</v>
      </c>
      <c r="D178" s="22" t="s">
        <v>41</v>
      </c>
      <c r="E178" s="83">
        <f>E174</f>
        <v>522.57315209432352</v>
      </c>
      <c r="F178" s="22"/>
      <c r="G178" s="3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2:20" ht="13" x14ac:dyDescent="0.3">
      <c r="B179" s="2"/>
      <c r="C179" s="24" t="s">
        <v>86</v>
      </c>
      <c r="D179" s="22" t="s">
        <v>41</v>
      </c>
      <c r="E179" s="83">
        <f>'Market Share'!E32/E5</f>
        <v>574.07407407407413</v>
      </c>
      <c r="F179" s="22"/>
      <c r="G179" s="3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2:20" ht="13" x14ac:dyDescent="0.3">
      <c r="B180" s="2"/>
      <c r="C180" s="29" t="s">
        <v>87</v>
      </c>
      <c r="D180" s="22" t="s">
        <v>41</v>
      </c>
      <c r="E180" s="107">
        <f>E179-E178</f>
        <v>51.500921979750615</v>
      </c>
      <c r="F180" s="22"/>
      <c r="G180" s="3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2:20" ht="13" x14ac:dyDescent="0.3">
      <c r="B181" s="2"/>
      <c r="C181" s="2"/>
      <c r="D181" s="3"/>
      <c r="E181" s="2"/>
      <c r="F181" s="2"/>
      <c r="G181" s="3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2:20" ht="13" x14ac:dyDescent="0.3">
      <c r="B182" s="2"/>
      <c r="C182" s="2"/>
      <c r="D182" s="3"/>
      <c r="E182" s="2"/>
      <c r="F182" s="2"/>
      <c r="G182" s="3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2:20" ht="14" thickBot="1" x14ac:dyDescent="0.4">
      <c r="E183" s="209">
        <f>+E104</f>
        <v>70000</v>
      </c>
      <c r="G183" s="34"/>
    </row>
    <row r="184" spans="2:20" ht="15.5" thickTop="1" thickBot="1" x14ac:dyDescent="0.4">
      <c r="C184" s="31" t="s">
        <v>17</v>
      </c>
      <c r="E184" s="239"/>
      <c r="G184" s="34"/>
    </row>
    <row r="185" spans="2:20" ht="14" thickTop="1" x14ac:dyDescent="0.35">
      <c r="C185" s="24" t="s">
        <v>18</v>
      </c>
      <c r="E185" s="33">
        <f>+E26</f>
        <v>53766.44122541765</v>
      </c>
      <c r="G185" s="34"/>
    </row>
    <row r="186" spans="2:20" x14ac:dyDescent="0.35">
      <c r="C186" s="24" t="s">
        <v>19</v>
      </c>
      <c r="E186" s="35">
        <f t="shared" ref="E186:E230" si="1">+E27</f>
        <v>13455.579882615926</v>
      </c>
      <c r="G186" s="34"/>
    </row>
    <row r="187" spans="2:20" x14ac:dyDescent="0.35">
      <c r="C187" s="24" t="s">
        <v>20</v>
      </c>
      <c r="E187" s="35">
        <f t="shared" si="1"/>
        <v>16805.505277008397</v>
      </c>
      <c r="G187" s="34"/>
    </row>
    <row r="188" spans="2:20" x14ac:dyDescent="0.35">
      <c r="C188" s="24" t="s">
        <v>21</v>
      </c>
      <c r="E188" s="35">
        <f t="shared" si="1"/>
        <v>0</v>
      </c>
      <c r="G188" s="34"/>
    </row>
    <row r="189" spans="2:20" x14ac:dyDescent="0.35">
      <c r="C189" s="24" t="s">
        <v>22</v>
      </c>
      <c r="E189" s="35">
        <f t="shared" si="1"/>
        <v>0</v>
      </c>
      <c r="G189" s="34"/>
    </row>
    <row r="190" spans="2:20" x14ac:dyDescent="0.35">
      <c r="C190" s="24"/>
      <c r="E190" s="37">
        <f t="shared" si="1"/>
        <v>0</v>
      </c>
      <c r="G190" s="34"/>
    </row>
    <row r="191" spans="2:20" x14ac:dyDescent="0.35">
      <c r="C191" s="24" t="s">
        <v>23</v>
      </c>
      <c r="E191" s="39">
        <f t="shared" si="1"/>
        <v>-673.16280481438173</v>
      </c>
      <c r="G191" s="34"/>
    </row>
    <row r="192" spans="2:20" ht="14" thickBot="1" x14ac:dyDescent="0.4">
      <c r="C192" s="24"/>
      <c r="G192" s="34"/>
    </row>
    <row r="193" spans="3:7" ht="14" thickTop="1" x14ac:dyDescent="0.35">
      <c r="C193" s="24" t="s">
        <v>24</v>
      </c>
      <c r="E193" s="50">
        <f t="shared" si="1"/>
        <v>109.02591285694101</v>
      </c>
      <c r="G193" s="34"/>
    </row>
    <row r="194" spans="3:7" x14ac:dyDescent="0.35">
      <c r="C194" s="42" t="s">
        <v>26</v>
      </c>
      <c r="E194" s="51">
        <f t="shared" si="1"/>
        <v>7.6715423918542802</v>
      </c>
      <c r="G194" s="34"/>
    </row>
    <row r="195" spans="3:7" x14ac:dyDescent="0.35">
      <c r="C195" s="24" t="s">
        <v>27</v>
      </c>
      <c r="E195" s="51">
        <f t="shared" si="1"/>
        <v>1.8285668504468275</v>
      </c>
      <c r="G195" s="34"/>
    </row>
    <row r="196" spans="3:7" x14ac:dyDescent="0.35">
      <c r="C196" s="24" t="s">
        <v>227</v>
      </c>
      <c r="E196" s="53">
        <f t="shared" si="1"/>
        <v>1</v>
      </c>
      <c r="G196" s="34"/>
    </row>
    <row r="197" spans="3:7" ht="14" thickBot="1" x14ac:dyDescent="0.4">
      <c r="C197" s="24"/>
      <c r="E197" s="46"/>
      <c r="G197" s="34"/>
    </row>
    <row r="198" spans="3:7" ht="14" thickTop="1" x14ac:dyDescent="0.35">
      <c r="C198" s="24" t="s">
        <v>29</v>
      </c>
      <c r="E198" s="202">
        <f t="shared" si="1"/>
        <v>612.8308917064777</v>
      </c>
      <c r="G198" s="34"/>
    </row>
    <row r="199" spans="3:7" x14ac:dyDescent="0.35">
      <c r="C199" s="24" t="s">
        <v>31</v>
      </c>
      <c r="E199" s="90">
        <f t="shared" si="1"/>
        <v>14.208494921973113</v>
      </c>
      <c r="G199" s="34"/>
    </row>
    <row r="200" spans="3:7" x14ac:dyDescent="0.35">
      <c r="C200" s="24" t="s">
        <v>33</v>
      </c>
      <c r="E200" s="90">
        <f t="shared" si="1"/>
        <v>0.99468844857473848</v>
      </c>
      <c r="G200" s="34"/>
    </row>
    <row r="201" spans="3:7" x14ac:dyDescent="0.35">
      <c r="C201" s="24" t="s">
        <v>35</v>
      </c>
      <c r="E201" s="90">
        <f t="shared" si="1"/>
        <v>22.875814202139754</v>
      </c>
      <c r="G201" s="34"/>
    </row>
    <row r="202" spans="3:7" x14ac:dyDescent="0.35">
      <c r="C202" s="24" t="s">
        <v>36</v>
      </c>
      <c r="E202" s="90">
        <f t="shared" si="1"/>
        <v>1.0835797333592643</v>
      </c>
      <c r="G202" s="34"/>
    </row>
    <row r="203" spans="3:7" x14ac:dyDescent="0.35">
      <c r="C203" s="24" t="s">
        <v>226</v>
      </c>
      <c r="E203" s="91">
        <f t="shared" si="1"/>
        <v>1</v>
      </c>
      <c r="G203" s="34"/>
    </row>
    <row r="204" spans="3:7" ht="14" thickBot="1" x14ac:dyDescent="0.4">
      <c r="C204" s="24"/>
      <c r="E204" s="15"/>
      <c r="G204" s="34"/>
    </row>
    <row r="205" spans="3:7" ht="14" thickTop="1" x14ac:dyDescent="0.35">
      <c r="C205" s="42" t="s">
        <v>38</v>
      </c>
      <c r="E205" s="50">
        <f t="shared" si="1"/>
        <v>1</v>
      </c>
      <c r="G205" s="34"/>
    </row>
    <row r="206" spans="3:7" x14ac:dyDescent="0.35">
      <c r="C206" s="49" t="s">
        <v>39</v>
      </c>
      <c r="E206" s="53">
        <f t="shared" si="1"/>
        <v>1</v>
      </c>
      <c r="G206" s="34"/>
    </row>
    <row r="207" spans="3:7" ht="14" thickBot="1" x14ac:dyDescent="0.4">
      <c r="C207" s="2"/>
      <c r="E207" s="2"/>
      <c r="G207" s="34"/>
    </row>
    <row r="208" spans="3:7" ht="15.5" thickTop="1" thickBot="1" x14ac:dyDescent="0.4">
      <c r="C208" s="31" t="s">
        <v>40</v>
      </c>
      <c r="E208" s="2"/>
      <c r="G208" s="34"/>
    </row>
    <row r="209" spans="3:7" ht="14" thickTop="1" x14ac:dyDescent="0.35">
      <c r="C209" s="24" t="s">
        <v>18</v>
      </c>
      <c r="E209" s="50">
        <f t="shared" si="1"/>
        <v>300</v>
      </c>
      <c r="G209" s="34"/>
    </row>
    <row r="210" spans="3:7" x14ac:dyDescent="0.35">
      <c r="C210" s="24" t="s">
        <v>19</v>
      </c>
      <c r="E210" s="51">
        <f t="shared" si="1"/>
        <v>300</v>
      </c>
      <c r="G210" s="34"/>
    </row>
    <row r="211" spans="3:7" x14ac:dyDescent="0.35">
      <c r="C211" s="24" t="s">
        <v>20</v>
      </c>
      <c r="E211" s="51">
        <f t="shared" si="1"/>
        <v>274.66002568409777</v>
      </c>
      <c r="G211" s="34"/>
    </row>
    <row r="212" spans="3:7" x14ac:dyDescent="0.35">
      <c r="C212" s="24" t="s">
        <v>21</v>
      </c>
      <c r="E212" s="51">
        <f t="shared" si="1"/>
        <v>0</v>
      </c>
      <c r="G212" s="34"/>
    </row>
    <row r="213" spans="3:7" x14ac:dyDescent="0.35">
      <c r="C213" s="24" t="s">
        <v>22</v>
      </c>
      <c r="E213" s="51">
        <f t="shared" si="1"/>
        <v>0</v>
      </c>
      <c r="G213" s="34"/>
    </row>
    <row r="214" spans="3:7" x14ac:dyDescent="0.35">
      <c r="C214" s="24"/>
      <c r="E214" s="51">
        <f t="shared" si="1"/>
        <v>0</v>
      </c>
      <c r="G214" s="34"/>
    </row>
    <row r="215" spans="3:7" x14ac:dyDescent="0.35">
      <c r="C215" s="24" t="s">
        <v>42</v>
      </c>
      <c r="E215" s="53">
        <f t="shared" si="1"/>
        <v>381.26543209876547</v>
      </c>
      <c r="G215" s="34"/>
    </row>
    <row r="216" spans="3:7" ht="14" thickBot="1" x14ac:dyDescent="0.4">
      <c r="C216" s="24"/>
      <c r="E216" s="54"/>
      <c r="G216" s="34"/>
    </row>
    <row r="217" spans="3:7" ht="14" thickTop="1" x14ac:dyDescent="0.35">
      <c r="C217" s="24" t="s">
        <v>24</v>
      </c>
      <c r="E217" s="50">
        <f t="shared" si="1"/>
        <v>365.72636089629196</v>
      </c>
      <c r="G217" s="34"/>
    </row>
    <row r="218" spans="3:7" x14ac:dyDescent="0.35">
      <c r="C218" s="42" t="s">
        <v>26</v>
      </c>
      <c r="E218" s="51">
        <f t="shared" si="1"/>
        <v>1021.0137513196172</v>
      </c>
      <c r="G218" s="34"/>
    </row>
    <row r="219" spans="3:7" x14ac:dyDescent="0.35">
      <c r="C219" s="24" t="s">
        <v>27</v>
      </c>
      <c r="E219" s="51">
        <f t="shared" si="1"/>
        <v>13690.102043338456</v>
      </c>
    </row>
    <row r="220" spans="3:7" x14ac:dyDescent="0.35">
      <c r="C220" s="24" t="s">
        <v>227</v>
      </c>
      <c r="E220" s="53">
        <f t="shared" si="1"/>
        <v>3901.5452644090369</v>
      </c>
    </row>
    <row r="221" spans="3:7" ht="15" thickBot="1" x14ac:dyDescent="0.4">
      <c r="C221" s="55"/>
      <c r="E221" s="56"/>
    </row>
    <row r="222" spans="3:7" ht="14" thickTop="1" x14ac:dyDescent="0.35">
      <c r="C222" s="24" t="s">
        <v>29</v>
      </c>
      <c r="E222" s="57">
        <f t="shared" si="1"/>
        <v>7.0000000000000001E-3</v>
      </c>
    </row>
    <row r="223" spans="3:7" x14ac:dyDescent="0.35">
      <c r="C223" s="24" t="s">
        <v>31</v>
      </c>
      <c r="E223" s="59">
        <f t="shared" si="1"/>
        <v>0.26444558717031608</v>
      </c>
    </row>
    <row r="224" spans="3:7" x14ac:dyDescent="0.35">
      <c r="C224" s="24" t="s">
        <v>33</v>
      </c>
      <c r="E224" s="59">
        <f t="shared" si="1"/>
        <v>0.56767249259434571</v>
      </c>
    </row>
    <row r="225" spans="3:5" x14ac:dyDescent="0.35">
      <c r="C225" s="24" t="s">
        <v>35</v>
      </c>
      <c r="E225" s="59">
        <f t="shared" si="1"/>
        <v>0.19645343623489261</v>
      </c>
    </row>
    <row r="226" spans="3:5" x14ac:dyDescent="0.35">
      <c r="C226" s="24" t="s">
        <v>36</v>
      </c>
      <c r="E226" s="59">
        <f t="shared" si="1"/>
        <v>0.51033097432408581</v>
      </c>
    </row>
    <row r="227" spans="3:5" x14ac:dyDescent="0.35">
      <c r="C227" s="24" t="s">
        <v>226</v>
      </c>
      <c r="E227" s="60">
        <f t="shared" si="1"/>
        <v>0.19478486381390187</v>
      </c>
    </row>
    <row r="228" spans="3:5" ht="14" thickBot="1" x14ac:dyDescent="0.4">
      <c r="C228" s="24"/>
      <c r="E228" s="56"/>
    </row>
    <row r="229" spans="3:5" ht="14" thickTop="1" x14ac:dyDescent="0.35">
      <c r="C229" s="42" t="s">
        <v>38</v>
      </c>
      <c r="E229" s="50">
        <f t="shared" si="1"/>
        <v>2.3241757844129043</v>
      </c>
    </row>
    <row r="230" spans="3:5" x14ac:dyDescent="0.35">
      <c r="C230" s="49" t="s">
        <v>39</v>
      </c>
      <c r="E230" s="53">
        <f t="shared" si="1"/>
        <v>31.416226778238531</v>
      </c>
    </row>
    <row r="231" spans="3:5" ht="14" thickBot="1" x14ac:dyDescent="0.4">
      <c r="E231" s="209"/>
    </row>
    <row r="232" spans="3:5" ht="15" thickTop="1" x14ac:dyDescent="0.35">
      <c r="C232" s="31" t="s">
        <v>47</v>
      </c>
      <c r="E232" s="209"/>
    </row>
    <row r="233" spans="3:5" x14ac:dyDescent="0.35">
      <c r="C233" s="24" t="s">
        <v>18</v>
      </c>
      <c r="E233" s="209">
        <f>+E209*E185/$E$183</f>
        <v>230.42760525178991</v>
      </c>
    </row>
    <row r="234" spans="3:5" x14ac:dyDescent="0.35">
      <c r="C234" s="24" t="s">
        <v>19</v>
      </c>
      <c r="E234" s="209">
        <f t="shared" ref="E234:E239" si="2">+E210*E186/$E$183</f>
        <v>57.666770925496827</v>
      </c>
    </row>
    <row r="235" spans="3:5" x14ac:dyDescent="0.35">
      <c r="C235" s="24" t="s">
        <v>20</v>
      </c>
      <c r="E235" s="209">
        <f t="shared" si="2"/>
        <v>65.940007300248098</v>
      </c>
    </row>
    <row r="236" spans="3:5" x14ac:dyDescent="0.35">
      <c r="C236" s="24" t="s">
        <v>21</v>
      </c>
      <c r="E236" s="209">
        <f t="shared" si="2"/>
        <v>0</v>
      </c>
    </row>
    <row r="237" spans="3:5" x14ac:dyDescent="0.35">
      <c r="C237" s="24" t="s">
        <v>22</v>
      </c>
      <c r="E237" s="209">
        <f t="shared" si="2"/>
        <v>0</v>
      </c>
    </row>
    <row r="238" spans="3:5" x14ac:dyDescent="0.35">
      <c r="C238" s="24"/>
      <c r="E238" s="209"/>
    </row>
    <row r="239" spans="3:5" x14ac:dyDescent="0.35">
      <c r="C239" s="24" t="s">
        <v>42</v>
      </c>
      <c r="E239" s="209">
        <f t="shared" si="2"/>
        <v>-3.6664815378624596</v>
      </c>
    </row>
    <row r="240" spans="3:5" x14ac:dyDescent="0.35">
      <c r="C240" s="24"/>
      <c r="E240" s="209"/>
    </row>
    <row r="241" spans="3:5" x14ac:dyDescent="0.35">
      <c r="C241" s="24" t="s">
        <v>24</v>
      </c>
      <c r="E241" s="209">
        <f>+E217*E193/1000</f>
        <v>39.873650352565278</v>
      </c>
    </row>
    <row r="242" spans="3:5" x14ac:dyDescent="0.35">
      <c r="C242" s="24" t="s">
        <v>26</v>
      </c>
      <c r="E242" s="209">
        <f t="shared" ref="E242:E244" si="3">+E218*E194/1000</f>
        <v>7.8327502759146075</v>
      </c>
    </row>
    <row r="243" spans="3:5" x14ac:dyDescent="0.35">
      <c r="C243" s="24" t="s">
        <v>27</v>
      </c>
      <c r="E243" s="209">
        <f t="shared" si="3"/>
        <v>25.033266775683078</v>
      </c>
    </row>
    <row r="244" spans="3:5" x14ac:dyDescent="0.35">
      <c r="C244" s="24" t="s">
        <v>227</v>
      </c>
      <c r="E244" s="209">
        <f t="shared" si="3"/>
        <v>3.9015452644090369</v>
      </c>
    </row>
    <row r="245" spans="3:5" ht="14.5" x14ac:dyDescent="0.35">
      <c r="C245" s="55"/>
      <c r="E245" s="209"/>
    </row>
    <row r="246" spans="3:5" x14ac:dyDescent="0.35">
      <c r="C246" s="24" t="s">
        <v>29</v>
      </c>
      <c r="E246" s="209">
        <f>+E222*E198</f>
        <v>4.2898162419453438</v>
      </c>
    </row>
    <row r="247" spans="3:5" x14ac:dyDescent="0.35">
      <c r="C247" s="24" t="s">
        <v>31</v>
      </c>
      <c r="E247" s="209">
        <f t="shared" ref="E247:E251" si="4">+E223*E199</f>
        <v>3.7573737824476341</v>
      </c>
    </row>
    <row r="248" spans="3:5" x14ac:dyDescent="0.35">
      <c r="C248" s="24" t="s">
        <v>33</v>
      </c>
      <c r="E248" s="209">
        <f t="shared" si="4"/>
        <v>0.56465727095722451</v>
      </c>
    </row>
    <row r="249" spans="3:5" x14ac:dyDescent="0.35">
      <c r="C249" s="24" t="s">
        <v>35</v>
      </c>
      <c r="E249" s="209">
        <f t="shared" si="4"/>
        <v>4.494032306681313</v>
      </c>
    </row>
    <row r="250" spans="3:5" x14ac:dyDescent="0.35">
      <c r="C250" s="24" t="s">
        <v>36</v>
      </c>
      <c r="E250" s="209">
        <f t="shared" si="4"/>
        <v>0.5529843010830664</v>
      </c>
    </row>
    <row r="251" spans="3:5" x14ac:dyDescent="0.35">
      <c r="C251" s="24" t="s">
        <v>226</v>
      </c>
      <c r="E251" s="209">
        <f t="shared" si="4"/>
        <v>0.19478486381390187</v>
      </c>
    </row>
    <row r="252" spans="3:5" x14ac:dyDescent="0.35">
      <c r="C252" s="24"/>
      <c r="E252" s="209"/>
    </row>
    <row r="253" spans="3:5" x14ac:dyDescent="0.35">
      <c r="C253" s="24" t="s">
        <v>38</v>
      </c>
      <c r="E253" s="209"/>
    </row>
    <row r="254" spans="3:5" x14ac:dyDescent="0.35">
      <c r="C254" s="29" t="s">
        <v>39</v>
      </c>
      <c r="E254" s="209"/>
    </row>
    <row r="255" spans="3:5" x14ac:dyDescent="0.35">
      <c r="C255" s="75" t="s">
        <v>48</v>
      </c>
      <c r="E255" s="209"/>
    </row>
    <row r="256" spans="3:5" x14ac:dyDescent="0.35">
      <c r="C256" s="75" t="s">
        <v>49</v>
      </c>
      <c r="E256" s="209"/>
    </row>
    <row r="257" spans="3:5" x14ac:dyDescent="0.35">
      <c r="C257" s="75" t="s">
        <v>50</v>
      </c>
      <c r="E257" s="209"/>
    </row>
    <row r="258" spans="3:5" ht="14" thickBot="1" x14ac:dyDescent="0.4">
      <c r="C258" s="78" t="s">
        <v>51</v>
      </c>
      <c r="E258" s="209"/>
    </row>
    <row r="259" spans="3:5" ht="15" thickTop="1" x14ac:dyDescent="0.35">
      <c r="C259" s="9" t="s">
        <v>228</v>
      </c>
      <c r="E259" s="209"/>
    </row>
    <row r="292" spans="2:20" ht="13" x14ac:dyDescent="0.3">
      <c r="B292" s="2"/>
      <c r="C292" s="2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2:20" ht="13" x14ac:dyDescent="0.3">
      <c r="B293" s="2"/>
      <c r="C293" s="2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2:20" ht="13" x14ac:dyDescent="0.3">
      <c r="B294" s="2"/>
      <c r="C294" s="2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2:20" ht="13" x14ac:dyDescent="0.3">
      <c r="B295" s="2"/>
      <c r="C295" s="2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2:20" ht="13" x14ac:dyDescent="0.3">
      <c r="B296" s="2"/>
      <c r="C296" s="2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2:20" ht="13" x14ac:dyDescent="0.3">
      <c r="B297" s="2"/>
      <c r="C297" s="2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2:20" ht="13" x14ac:dyDescent="0.3">
      <c r="B298" s="2"/>
      <c r="C298" s="2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2:20" ht="13" x14ac:dyDescent="0.3">
      <c r="B299" s="2"/>
      <c r="C299" s="2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2:20" ht="13" x14ac:dyDescent="0.3">
      <c r="B300" s="2"/>
      <c r="C300" s="2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2:20" ht="13" x14ac:dyDescent="0.3">
      <c r="B301" s="2"/>
      <c r="C301" s="2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</sheetData>
  <pageMargins left="0.7" right="0.7" top="0.75" bottom="0.75" header="0.3" footer="0.3"/>
  <pageSetup orientation="portrait" r:id="rId1"/>
  <headerFooter>
    <oddFooter>&amp;C&amp;1#&amp;"Calibri"&amp;10&amp;K737373EZDK Business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6365C"/>
  </sheetPr>
  <dimension ref="B1:R117"/>
  <sheetViews>
    <sheetView showGridLines="0" topLeftCell="A50" zoomScaleNormal="100" zoomScaleSheetLayoutView="40" workbookViewId="0">
      <selection activeCell="F64" sqref="F64"/>
    </sheetView>
  </sheetViews>
  <sheetFormatPr defaultColWidth="9.1796875" defaultRowHeight="14.5" x14ac:dyDescent="0.35"/>
  <cols>
    <col min="1" max="1" width="9.1796875" style="110"/>
    <col min="2" max="2" width="5.1796875" style="110" customWidth="1"/>
    <col min="3" max="3" width="34.54296875" style="316" bestFit="1" customWidth="1"/>
    <col min="4" max="4" width="14" style="317" bestFit="1" customWidth="1"/>
    <col min="5" max="5" width="17.453125" style="316" bestFit="1" customWidth="1"/>
    <col min="6" max="7" width="12.7265625" style="318" bestFit="1" customWidth="1"/>
    <col min="8" max="9" width="11.7265625" style="110" bestFit="1" customWidth="1"/>
    <col min="10" max="16384" width="9.1796875" style="110"/>
  </cols>
  <sheetData>
    <row r="1" spans="2:18" ht="15" thickBot="1" x14ac:dyDescent="0.4">
      <c r="B1" s="1"/>
      <c r="C1" s="1"/>
      <c r="D1" s="25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2:18" ht="48" customHeight="1" thickTop="1" x14ac:dyDescent="0.35">
      <c r="B2" s="1"/>
      <c r="C2" s="1"/>
      <c r="D2" s="253"/>
      <c r="E2" s="254" t="s">
        <v>93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2:18" x14ac:dyDescent="0.35">
      <c r="B3" s="1"/>
      <c r="C3" s="1"/>
      <c r="D3" s="25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2:18" ht="15" thickBot="1" x14ac:dyDescent="0.4">
      <c r="B4" s="8"/>
      <c r="C4" s="8"/>
      <c r="D4" s="253"/>
      <c r="E4" s="255" t="s">
        <v>94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2:18" ht="15.5" thickTop="1" thickBot="1" x14ac:dyDescent="0.4">
      <c r="B5" s="1"/>
      <c r="C5" s="1"/>
      <c r="D5" s="25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2:18" s="4" customFormat="1" ht="29.25" customHeight="1" thickTop="1" x14ac:dyDescent="0.3">
      <c r="B6" s="1"/>
      <c r="C6" s="256" t="s">
        <v>95</v>
      </c>
      <c r="D6" s="257" t="s">
        <v>96</v>
      </c>
      <c r="E6" s="258">
        <f>+Billet!D7</f>
        <v>16.2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1"/>
      <c r="R6" s="11"/>
    </row>
    <row r="7" spans="2:18" s="4" customFormat="1" ht="29.25" customHeight="1" x14ac:dyDescent="0.3">
      <c r="B7" s="1"/>
      <c r="C7" s="259" t="s">
        <v>88</v>
      </c>
      <c r="D7" s="257" t="s">
        <v>5</v>
      </c>
      <c r="E7" s="260"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1"/>
      <c r="R7" s="11"/>
    </row>
    <row r="8" spans="2:18" ht="28.5" customHeight="1" thickBot="1" x14ac:dyDescent="0.4">
      <c r="B8" s="1"/>
      <c r="C8" s="1"/>
      <c r="D8" s="253"/>
      <c r="E8" s="26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2:18" ht="15" thickBot="1" x14ac:dyDescent="0.4">
      <c r="B9" s="8"/>
      <c r="C9" s="262" t="s">
        <v>97</v>
      </c>
      <c r="D9" s="253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2:18" ht="15.5" thickTop="1" thickBot="1" x14ac:dyDescent="0.4">
      <c r="B10" s="1"/>
      <c r="C10" s="1"/>
      <c r="D10" s="253"/>
      <c r="E10" s="26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2:18" ht="33" customHeight="1" thickTop="1" x14ac:dyDescent="0.35">
      <c r="B11" s="1"/>
      <c r="C11" s="256" t="s">
        <v>98</v>
      </c>
      <c r="D11" s="257" t="s">
        <v>14</v>
      </c>
      <c r="E11" s="263">
        <v>500000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2:18" ht="33" customHeight="1" x14ac:dyDescent="0.35">
      <c r="B12" s="1"/>
      <c r="C12" s="264" t="s">
        <v>99</v>
      </c>
      <c r="D12" s="257" t="s">
        <v>5</v>
      </c>
      <c r="E12" s="265">
        <v>0.16079017999999998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2:18" ht="33" customHeight="1" x14ac:dyDescent="0.35">
      <c r="B13" s="1"/>
      <c r="C13" s="264" t="s">
        <v>100</v>
      </c>
      <c r="D13" s="257" t="s">
        <v>5</v>
      </c>
      <c r="E13" s="266">
        <f>1-E14</f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2:18" ht="33" customHeight="1" x14ac:dyDescent="0.35">
      <c r="B14" s="1"/>
      <c r="C14" s="267" t="s">
        <v>101</v>
      </c>
      <c r="D14" s="257" t="s">
        <v>5</v>
      </c>
      <c r="E14" s="260">
        <v>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2:18" ht="15" thickBot="1" x14ac:dyDescent="0.4">
      <c r="B15" s="1"/>
      <c r="C15" s="1"/>
      <c r="D15" s="257"/>
      <c r="E15" s="26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2:18" s="4" customFormat="1" ht="41.25" customHeight="1" thickTop="1" x14ac:dyDescent="0.3">
      <c r="B16" s="1"/>
      <c r="C16" s="269" t="s">
        <v>9</v>
      </c>
      <c r="D16" s="257" t="s">
        <v>10</v>
      </c>
      <c r="E16" s="270"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1"/>
      <c r="R16" s="11"/>
    </row>
    <row r="17" spans="2:18" s="4" customFormat="1" ht="41.25" customHeight="1" x14ac:dyDescent="0.3">
      <c r="B17" s="1"/>
      <c r="C17" s="259" t="s">
        <v>11</v>
      </c>
      <c r="D17" s="257" t="s">
        <v>12</v>
      </c>
      <c r="E17" s="271">
        <v>10743.1860950712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1"/>
      <c r="R17" s="11"/>
    </row>
    <row r="18" spans="2:18" s="4" customFormat="1" ht="13.5" thickBot="1" x14ac:dyDescent="0.35">
      <c r="B18" s="1"/>
      <c r="C18" s="1"/>
      <c r="D18" s="257"/>
      <c r="E18" s="27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1"/>
      <c r="R18" s="11"/>
    </row>
    <row r="19" spans="2:18" s="4" customFormat="1" ht="46.5" customHeight="1" thickTop="1" x14ac:dyDescent="0.3">
      <c r="B19" s="1"/>
      <c r="C19" s="256" t="s">
        <v>102</v>
      </c>
      <c r="D19" s="257" t="s">
        <v>5</v>
      </c>
      <c r="E19" s="273">
        <f>+Wire!E6%</f>
        <v>0.97609999999999997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1"/>
      <c r="R19" s="11"/>
    </row>
    <row r="20" spans="2:18" s="4" customFormat="1" ht="38.25" customHeight="1" x14ac:dyDescent="0.3">
      <c r="B20" s="1"/>
      <c r="C20" s="274" t="s">
        <v>103</v>
      </c>
      <c r="D20" s="257" t="s">
        <v>14</v>
      </c>
      <c r="E20" s="275">
        <f>('Market Share'!F19+'Market Share'!F6)*1000</f>
        <v>50000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1"/>
      <c r="R20" s="11"/>
    </row>
    <row r="21" spans="2:18" s="28" customFormat="1" ht="38.25" customHeight="1" x14ac:dyDescent="0.3">
      <c r="B21" s="27"/>
      <c r="C21" s="276" t="s">
        <v>104</v>
      </c>
      <c r="D21" s="257" t="s">
        <v>14</v>
      </c>
      <c r="E21" s="277">
        <f>E20/E19</f>
        <v>51224.259809445757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2:18" ht="15" thickBot="1" x14ac:dyDescent="0.4">
      <c r="B22" s="1"/>
      <c r="C22" s="1"/>
      <c r="D22" s="25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2:18" ht="45.75" customHeight="1" thickTop="1" thickBot="1" x14ac:dyDescent="0.4">
      <c r="B23" s="1"/>
      <c r="C23" s="278" t="s">
        <v>17</v>
      </c>
      <c r="D23" s="257"/>
      <c r="E23" s="27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2:18" ht="34.5" customHeight="1" thickTop="1" x14ac:dyDescent="0.35">
      <c r="B24" s="1"/>
      <c r="C24" s="264" t="s">
        <v>105</v>
      </c>
      <c r="D24" s="18">
        <v>0</v>
      </c>
      <c r="E24" s="279">
        <f>+D24*E21</f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2:18" ht="34.5" customHeight="1" x14ac:dyDescent="0.35">
      <c r="B25" s="1"/>
      <c r="C25" s="264" t="s">
        <v>106</v>
      </c>
      <c r="D25" s="18">
        <v>1</v>
      </c>
      <c r="E25" s="280">
        <f>+D25*E21</f>
        <v>51224.259809445757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2:18" ht="34.5" customHeight="1" x14ac:dyDescent="0.35">
      <c r="B26" s="1"/>
      <c r="C26" s="264" t="s">
        <v>107</v>
      </c>
      <c r="D26" s="18">
        <v>0</v>
      </c>
      <c r="E26" s="280">
        <f>+D26*E21</f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2:18" ht="34.5" customHeight="1" x14ac:dyDescent="0.35">
      <c r="B27" s="1"/>
      <c r="C27" s="264" t="s">
        <v>108</v>
      </c>
      <c r="D27" s="16">
        <v>-1.8443095450363819E-2</v>
      </c>
      <c r="E27" s="280">
        <f>+D27*(E26+E25+E24)</f>
        <v>-944.73391303984329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2:18" ht="34.5" customHeight="1" x14ac:dyDescent="0.35">
      <c r="B28" s="1"/>
      <c r="C28" s="264" t="s">
        <v>29</v>
      </c>
      <c r="D28" s="257" t="s">
        <v>30</v>
      </c>
      <c r="E28" s="321">
        <v>117.84816152988833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2:18" ht="34.5" customHeight="1" x14ac:dyDescent="0.35">
      <c r="B29" s="1"/>
      <c r="C29" s="264" t="s">
        <v>31</v>
      </c>
      <c r="D29" s="257" t="s">
        <v>32</v>
      </c>
      <c r="E29" s="321">
        <v>30.695099703303566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2:18" ht="34.5" customHeight="1" x14ac:dyDescent="0.35">
      <c r="B30" s="1"/>
      <c r="C30" s="264" t="s">
        <v>109</v>
      </c>
      <c r="D30" s="257" t="s">
        <v>110</v>
      </c>
      <c r="E30" s="322">
        <f>E29/28</f>
        <v>1.0962535608322701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2:18" ht="34.5" customHeight="1" x14ac:dyDescent="0.35">
      <c r="B31" s="1"/>
      <c r="C31" s="264" t="s">
        <v>111</v>
      </c>
      <c r="D31" s="257" t="s">
        <v>32</v>
      </c>
      <c r="E31" s="321">
        <v>0.929028719885717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2:18" ht="34.5" customHeight="1" x14ac:dyDescent="0.35">
      <c r="B32" s="1"/>
      <c r="C32" s="264" t="s">
        <v>112</v>
      </c>
      <c r="D32" s="257" t="s">
        <v>113</v>
      </c>
      <c r="E32" s="321">
        <v>1.8633484291381239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2:18" ht="34.5" customHeight="1" x14ac:dyDescent="0.35">
      <c r="B33" s="1"/>
      <c r="C33" s="264" t="s">
        <v>114</v>
      </c>
      <c r="D33" s="257" t="s">
        <v>113</v>
      </c>
      <c r="E33" s="321">
        <v>0.71357388179876302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2:18" ht="34.5" customHeight="1" x14ac:dyDescent="0.35">
      <c r="B34" s="1"/>
      <c r="C34" s="264" t="s">
        <v>115</v>
      </c>
      <c r="D34" s="257" t="s">
        <v>113</v>
      </c>
      <c r="E34" s="321">
        <v>0.71357388179876191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2:18" ht="34.5" customHeight="1" x14ac:dyDescent="0.35">
      <c r="B35" s="1"/>
      <c r="C35" s="264" t="s">
        <v>116</v>
      </c>
      <c r="D35" s="257" t="s">
        <v>113</v>
      </c>
      <c r="E35" s="321"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2:18" s="4" customFormat="1" ht="34.5" customHeight="1" x14ac:dyDescent="0.3">
      <c r="B36" s="1"/>
      <c r="C36" s="267" t="s">
        <v>117</v>
      </c>
      <c r="D36" s="257" t="s">
        <v>113</v>
      </c>
      <c r="E36" s="283">
        <v>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1"/>
      <c r="R36" s="11"/>
    </row>
    <row r="37" spans="2:18" ht="15" thickBot="1" x14ac:dyDescent="0.4">
      <c r="B37" s="1"/>
      <c r="C37" s="1"/>
      <c r="D37" s="25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2:18" ht="45.75" customHeight="1" thickTop="1" thickBot="1" x14ac:dyDescent="0.4">
      <c r="B38" s="1"/>
      <c r="C38" s="278" t="s">
        <v>118</v>
      </c>
      <c r="D38" s="257"/>
      <c r="E38" s="27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2:18" ht="33" customHeight="1" thickTop="1" x14ac:dyDescent="0.35">
      <c r="B39" s="1"/>
      <c r="C39" s="264" t="s">
        <v>119</v>
      </c>
      <c r="D39" s="257" t="s">
        <v>120</v>
      </c>
      <c r="E39" s="258">
        <v>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2:18" ht="33" customHeight="1" x14ac:dyDescent="0.35">
      <c r="B40" s="1"/>
      <c r="C40" s="264" t="s">
        <v>121</v>
      </c>
      <c r="D40" s="257" t="s">
        <v>122</v>
      </c>
      <c r="E40" s="284"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2:18" ht="33" customHeight="1" x14ac:dyDescent="0.35">
      <c r="B41" s="1"/>
      <c r="C41" s="264" t="s">
        <v>123</v>
      </c>
      <c r="D41" s="257" t="s">
        <v>124</v>
      </c>
      <c r="E41" s="275">
        <f>(E6*E39)+E40</f>
        <v>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18" ht="24.75" customHeight="1" x14ac:dyDescent="0.35">
      <c r="B42" s="1"/>
      <c r="C42" s="264" t="s">
        <v>125</v>
      </c>
      <c r="D42" s="257" t="s">
        <v>122</v>
      </c>
      <c r="E42" s="280">
        <f>+Wire!E12*E6</f>
        <v>7110.1767394331982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2:18" ht="24.75" customHeight="1" x14ac:dyDescent="0.6">
      <c r="B43" s="1"/>
      <c r="C43" s="264" t="s">
        <v>126</v>
      </c>
      <c r="D43" s="257" t="s">
        <v>122</v>
      </c>
      <c r="E43" s="280">
        <v>0</v>
      </c>
      <c r="F43" s="1"/>
      <c r="G43" s="1"/>
      <c r="H43" s="1"/>
      <c r="I43" s="112"/>
      <c r="J43" s="1"/>
      <c r="K43" s="1"/>
      <c r="L43" s="1"/>
      <c r="M43" s="1"/>
      <c r="N43" s="1"/>
      <c r="O43" s="1"/>
      <c r="P43" s="1"/>
      <c r="Q43" s="1"/>
      <c r="R43" s="1"/>
    </row>
    <row r="44" spans="2:18" ht="24.75" customHeight="1" x14ac:dyDescent="0.35">
      <c r="B44" s="1"/>
      <c r="C44" s="264" t="s">
        <v>127</v>
      </c>
      <c r="D44" s="257" t="s">
        <v>122</v>
      </c>
      <c r="E44" s="280">
        <v>5132.9267776539427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ht="24.75" customHeight="1" x14ac:dyDescent="0.35">
      <c r="B45" s="1"/>
      <c r="C45" s="264" t="s">
        <v>29</v>
      </c>
      <c r="D45" s="257" t="s">
        <v>128</v>
      </c>
      <c r="E45" s="281">
        <f>0.07*E6</f>
        <v>1.1340000000000001</v>
      </c>
      <c r="F45" s="1"/>
      <c r="G45" s="28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ht="24.75" customHeight="1" x14ac:dyDescent="0.35">
      <c r="B46" s="1"/>
      <c r="C46" s="264" t="s">
        <v>31</v>
      </c>
      <c r="D46" s="257" t="s">
        <v>129</v>
      </c>
      <c r="E46" s="281">
        <f>+E47*28/E6</f>
        <v>7.3997060924915559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ht="24.75" customHeight="1" x14ac:dyDescent="0.35">
      <c r="B47" s="1"/>
      <c r="C47" s="264" t="s">
        <v>31</v>
      </c>
      <c r="D47" s="257" t="s">
        <v>130</v>
      </c>
      <c r="E47" s="282">
        <v>4.2812585249415429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ht="24.75" customHeight="1" x14ac:dyDescent="0.35">
      <c r="B48" s="1"/>
      <c r="C48" s="264" t="s">
        <v>111</v>
      </c>
      <c r="D48" s="257" t="s">
        <v>130</v>
      </c>
      <c r="E48" s="281">
        <v>13.174887953448062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ht="24.75" customHeight="1" x14ac:dyDescent="0.35">
      <c r="B49" s="1"/>
      <c r="C49" s="264" t="s">
        <v>112</v>
      </c>
      <c r="D49" s="257" t="s">
        <v>131</v>
      </c>
      <c r="E49" s="284">
        <f>11249.0074074074/1000</f>
        <v>11.249007407407401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ht="24.75" customHeight="1" x14ac:dyDescent="0.35">
      <c r="B50" s="1"/>
      <c r="C50" s="264" t="s">
        <v>114</v>
      </c>
      <c r="D50" s="257" t="s">
        <v>122</v>
      </c>
      <c r="E50" s="284">
        <v>2.51536631403504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ht="24.75" customHeight="1" x14ac:dyDescent="0.35">
      <c r="B51" s="1"/>
      <c r="C51" s="264" t="s">
        <v>115</v>
      </c>
      <c r="D51" s="257" t="s">
        <v>122</v>
      </c>
      <c r="E51" s="281">
        <v>7.9825607729418762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ht="24.75" customHeight="1" x14ac:dyDescent="0.35">
      <c r="B52" s="1"/>
      <c r="C52" s="264" t="s">
        <v>116</v>
      </c>
      <c r="D52" s="257" t="s">
        <v>122</v>
      </c>
      <c r="E52" s="284">
        <v>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s="4" customFormat="1" ht="24.75" customHeight="1" x14ac:dyDescent="0.3">
      <c r="B53" s="1"/>
      <c r="C53" s="267" t="s">
        <v>117</v>
      </c>
      <c r="D53" s="257" t="s">
        <v>122</v>
      </c>
      <c r="E53" s="271">
        <v>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1"/>
      <c r="R53" s="11"/>
    </row>
    <row r="54" spans="2:18" ht="15" thickBot="1" x14ac:dyDescent="0.4">
      <c r="B54" s="1"/>
      <c r="C54" s="1"/>
      <c r="D54" s="25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ht="15.5" thickTop="1" thickBot="1" x14ac:dyDescent="0.4">
      <c r="B55" s="1"/>
      <c r="C55" s="286" t="s">
        <v>132</v>
      </c>
      <c r="D55" s="257"/>
      <c r="E55" s="27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ht="30" customHeight="1" thickTop="1" x14ac:dyDescent="0.35">
      <c r="B56" s="1"/>
      <c r="C56" s="264" t="s">
        <v>74</v>
      </c>
      <c r="D56" s="257" t="s">
        <v>12</v>
      </c>
      <c r="E56" s="258">
        <v>97605191.799999997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ht="30" customHeight="1" x14ac:dyDescent="0.35">
      <c r="B57" s="1"/>
      <c r="C57" s="264" t="s">
        <v>133</v>
      </c>
      <c r="D57" s="257"/>
      <c r="E57" s="287">
        <v>1667852.0055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s="4" customFormat="1" ht="30" customHeight="1" x14ac:dyDescent="0.3">
      <c r="B58" s="1"/>
      <c r="C58" s="267" t="s">
        <v>134</v>
      </c>
      <c r="D58" s="257" t="s">
        <v>12</v>
      </c>
      <c r="E58" s="271">
        <v>17918026.550000053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1"/>
      <c r="R58" s="11"/>
    </row>
    <row r="59" spans="2:18" ht="15" thickBot="1" x14ac:dyDescent="0.4">
      <c r="B59" s="1"/>
      <c r="C59" s="1"/>
      <c r="D59" s="25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s="4" customFormat="1" ht="19" thickTop="1" thickBot="1" x14ac:dyDescent="0.45">
      <c r="B60" s="114"/>
      <c r="C60" s="288" t="s">
        <v>135</v>
      </c>
      <c r="D60" s="257"/>
      <c r="E60" s="289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s="4" customFormat="1" ht="36.75" customHeight="1" thickTop="1" x14ac:dyDescent="0.4">
      <c r="B61" s="114"/>
      <c r="C61" s="264" t="s">
        <v>62</v>
      </c>
      <c r="D61" s="257" t="s">
        <v>122</v>
      </c>
      <c r="E61" s="290">
        <f>(E24*E41)/E$20</f>
        <v>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s="4" customFormat="1" ht="36.75" customHeight="1" x14ac:dyDescent="0.4">
      <c r="B62" s="114"/>
      <c r="C62" s="264" t="s">
        <v>53</v>
      </c>
      <c r="D62" s="257" t="s">
        <v>122</v>
      </c>
      <c r="E62" s="291">
        <f>(E25*E42)/E$20</f>
        <v>7284.2708118360806</v>
      </c>
      <c r="F62" s="1">
        <f>E62/E6</f>
        <v>449.64634640963465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s="4" customFormat="1" ht="36.75" customHeight="1" x14ac:dyDescent="0.4">
      <c r="B63" s="114"/>
      <c r="C63" s="264" t="s">
        <v>136</v>
      </c>
      <c r="D63" s="257" t="s">
        <v>122</v>
      </c>
      <c r="E63" s="292">
        <f>(E26*E43)/E$20</f>
        <v>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s="4" customFormat="1" ht="36.75" customHeight="1" x14ac:dyDescent="0.4">
      <c r="B64" s="114"/>
      <c r="C64" s="267" t="s">
        <v>137</v>
      </c>
      <c r="D64" s="257" t="s">
        <v>122</v>
      </c>
      <c r="E64" s="293">
        <f>(E27*E44)/E$20</f>
        <v>-96.985000000000056</v>
      </c>
      <c r="F64" s="1">
        <f>E64/E6</f>
        <v>-5.986728395061732</v>
      </c>
      <c r="G64" s="1">
        <f>-6.03*E6</f>
        <v>-97.685999999999993</v>
      </c>
      <c r="H64" s="1">
        <v>-99.495000000000005</v>
      </c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2:18" s="4" customFormat="1" ht="18.5" thickBot="1" x14ac:dyDescent="0.45">
      <c r="B65" s="114"/>
      <c r="C65" s="294"/>
      <c r="D65" s="257"/>
      <c r="E65" s="29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2:18" s="4" customFormat="1" ht="48.75" customHeight="1" thickTop="1" x14ac:dyDescent="0.4">
      <c r="B66" s="114"/>
      <c r="C66" s="296" t="s">
        <v>138</v>
      </c>
      <c r="D66" s="257" t="s">
        <v>122</v>
      </c>
      <c r="E66" s="297">
        <f>SUM(E61:E64)</f>
        <v>7187.2858118360809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2:18" s="4" customFormat="1" ht="18.5" thickBot="1" x14ac:dyDescent="0.45">
      <c r="B67" s="114"/>
      <c r="C67" s="294"/>
      <c r="D67" s="257"/>
      <c r="E67" s="29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2:18" s="4" customFormat="1" ht="29.25" customHeight="1" thickTop="1" x14ac:dyDescent="0.4">
      <c r="B68" s="114"/>
      <c r="C68" s="256" t="str">
        <f>C45</f>
        <v>Electricity</v>
      </c>
      <c r="D68" s="257" t="s">
        <v>122</v>
      </c>
      <c r="E68" s="298">
        <f>E28*E45</f>
        <v>133.63981517489339</v>
      </c>
      <c r="F68" s="320">
        <f>+E68/$E$77</f>
        <v>0.4370953988953547</v>
      </c>
      <c r="G68" s="1">
        <f>+F68*$H$77</f>
        <v>1.3677539427767276</v>
      </c>
      <c r="H68" s="319">
        <f>E68-G68</f>
        <v>132.27206123211667</v>
      </c>
      <c r="I68" s="1">
        <v>136.11462656702099</v>
      </c>
      <c r="J68" s="1"/>
      <c r="K68" s="1"/>
      <c r="L68" s="1"/>
      <c r="M68" s="1"/>
      <c r="N68" s="1"/>
      <c r="O68" s="1"/>
      <c r="P68" s="1"/>
      <c r="Q68" s="1"/>
      <c r="R68" s="1"/>
    </row>
    <row r="69" spans="2:18" s="4" customFormat="1" ht="29.25" customHeight="1" x14ac:dyDescent="0.4">
      <c r="B69" s="114"/>
      <c r="C69" s="264" t="str">
        <f t="shared" ref="C69:C75" si="0">C47</f>
        <v>Natural Gas</v>
      </c>
      <c r="D69" s="257" t="s">
        <v>122</v>
      </c>
      <c r="E69" s="299">
        <f>E29*E47</f>
        <v>131.41365727869902</v>
      </c>
      <c r="F69" s="320">
        <f t="shared" ref="F69:F75" si="1">+E69/$E$77</f>
        <v>0.42981431000453496</v>
      </c>
      <c r="G69" s="1">
        <f t="shared" ref="G69:G75" si="2">+F69*$H$77</f>
        <v>1.3449700423666691</v>
      </c>
      <c r="H69" s="319">
        <f t="shared" ref="H69:H75" si="3">E69-G69</f>
        <v>130.06868723633235</v>
      </c>
      <c r="I69" s="1">
        <v>131.41365727869899</v>
      </c>
      <c r="J69" s="1"/>
      <c r="K69" s="1"/>
      <c r="L69" s="1"/>
      <c r="M69" s="1"/>
      <c r="N69" s="1"/>
      <c r="O69" s="1"/>
      <c r="P69" s="1"/>
      <c r="Q69" s="1"/>
      <c r="R69" s="1"/>
    </row>
    <row r="70" spans="2:18" s="4" customFormat="1" ht="29.25" customHeight="1" x14ac:dyDescent="0.4">
      <c r="B70" s="114"/>
      <c r="C70" s="264" t="str">
        <f t="shared" si="0"/>
        <v>Recycled Water</v>
      </c>
      <c r="D70" s="257" t="s">
        <v>122</v>
      </c>
      <c r="E70" s="300">
        <f t="shared" ref="E70:E75" si="4">E31*E48</f>
        <v>12.239849290029607</v>
      </c>
      <c r="F70" s="320">
        <f t="shared" si="1"/>
        <v>4.0032843511815963E-2</v>
      </c>
      <c r="G70" s="1">
        <f t="shared" si="2"/>
        <v>0.12527031785790765</v>
      </c>
      <c r="H70" s="319">
        <f t="shared" si="3"/>
        <v>12.114578972171699</v>
      </c>
      <c r="I70" s="1">
        <v>12.2398492900296</v>
      </c>
      <c r="J70" s="1"/>
      <c r="K70" s="1"/>
      <c r="L70" s="1"/>
      <c r="M70" s="1"/>
      <c r="N70" s="1"/>
      <c r="O70" s="1"/>
      <c r="P70" s="1"/>
      <c r="Q70" s="1"/>
      <c r="R70" s="1"/>
    </row>
    <row r="71" spans="2:18" s="4" customFormat="1" ht="29.25" customHeight="1" x14ac:dyDescent="0.4">
      <c r="B71" s="114"/>
      <c r="C71" s="264" t="str">
        <f t="shared" si="0"/>
        <v>Tying</v>
      </c>
      <c r="D71" s="257" t="s">
        <v>122</v>
      </c>
      <c r="E71" s="301">
        <f t="shared" si="4"/>
        <v>20.960820281955701</v>
      </c>
      <c r="F71" s="320">
        <f t="shared" si="1"/>
        <v>6.8556500847634289E-2</v>
      </c>
      <c r="G71" s="1">
        <f t="shared" si="2"/>
        <v>0.21452622144800254</v>
      </c>
      <c r="H71" s="319">
        <f t="shared" si="3"/>
        <v>20.746294060507697</v>
      </c>
      <c r="I71" s="1">
        <v>20.960820281955701</v>
      </c>
      <c r="J71" s="1"/>
      <c r="K71" s="1"/>
      <c r="L71" s="1"/>
      <c r="M71" s="1"/>
      <c r="N71" s="1"/>
      <c r="O71" s="1"/>
      <c r="P71" s="1"/>
      <c r="Q71" s="1"/>
      <c r="R71" s="1"/>
    </row>
    <row r="72" spans="2:18" s="4" customFormat="1" ht="29.25" customHeight="1" x14ac:dyDescent="0.4">
      <c r="B72" s="114"/>
      <c r="C72" s="264" t="str">
        <f t="shared" si="0"/>
        <v>Chemicals</v>
      </c>
      <c r="D72" s="257" t="s">
        <v>122</v>
      </c>
      <c r="E72" s="300">
        <f t="shared" si="4"/>
        <v>1.7948997048518298</v>
      </c>
      <c r="F72" s="320">
        <f t="shared" si="1"/>
        <v>5.8705738364172423E-3</v>
      </c>
      <c r="G72" s="1">
        <f t="shared" si="2"/>
        <v>1.8370132770589815E-2</v>
      </c>
      <c r="H72" s="319">
        <f t="shared" si="3"/>
        <v>1.77652957208124</v>
      </c>
      <c r="I72" s="1">
        <v>1.79489970485183</v>
      </c>
      <c r="J72" s="1"/>
      <c r="K72" s="1"/>
      <c r="L72" s="1"/>
      <c r="M72" s="1"/>
      <c r="N72" s="1"/>
      <c r="O72" s="1"/>
      <c r="P72" s="1"/>
      <c r="Q72" s="1"/>
      <c r="R72" s="1"/>
    </row>
    <row r="73" spans="2:18" s="4" customFormat="1" ht="29.25" customHeight="1" x14ac:dyDescent="0.4">
      <c r="B73" s="114"/>
      <c r="C73" s="264" t="str">
        <f t="shared" si="0"/>
        <v>Label &amp; Rings</v>
      </c>
      <c r="D73" s="257" t="s">
        <v>122</v>
      </c>
      <c r="E73" s="299">
        <f t="shared" si="4"/>
        <v>5.6961468774426596</v>
      </c>
      <c r="F73" s="320">
        <f t="shared" si="1"/>
        <v>1.8630372904242642E-2</v>
      </c>
      <c r="G73" s="1">
        <f t="shared" si="2"/>
        <v>5.8297950652368209E-2</v>
      </c>
      <c r="H73" s="319">
        <f t="shared" si="3"/>
        <v>5.6378489267902916</v>
      </c>
      <c r="I73" s="1">
        <v>5.6961468774426596</v>
      </c>
      <c r="J73" s="1"/>
      <c r="K73" s="1"/>
      <c r="L73" s="1"/>
      <c r="M73" s="1"/>
      <c r="N73" s="1"/>
      <c r="O73" s="1"/>
      <c r="P73" s="1"/>
      <c r="Q73" s="1"/>
      <c r="R73" s="1"/>
    </row>
    <row r="74" spans="2:18" s="4" customFormat="1" ht="29.25" customHeight="1" x14ac:dyDescent="0.4">
      <c r="B74" s="114"/>
      <c r="C74" s="264" t="str">
        <f t="shared" si="0"/>
        <v>Sp. Parts/Oil &amp; Grease</v>
      </c>
      <c r="D74" s="257" t="s">
        <v>122</v>
      </c>
      <c r="E74" s="300">
        <f t="shared" si="4"/>
        <v>0</v>
      </c>
      <c r="F74" s="320">
        <f t="shared" si="1"/>
        <v>0</v>
      </c>
      <c r="G74" s="1">
        <f t="shared" si="2"/>
        <v>0</v>
      </c>
      <c r="H74" s="319">
        <f t="shared" si="3"/>
        <v>0</v>
      </c>
      <c r="I74" s="1">
        <v>0</v>
      </c>
      <c r="J74" s="1"/>
      <c r="K74" s="1"/>
      <c r="L74" s="1"/>
      <c r="M74" s="1"/>
      <c r="N74" s="1"/>
      <c r="O74" s="1"/>
      <c r="P74" s="1"/>
      <c r="Q74" s="1"/>
      <c r="R74" s="1"/>
    </row>
    <row r="75" spans="2:18" s="4" customFormat="1" ht="29.25" customHeight="1" x14ac:dyDescent="0.4">
      <c r="B75" s="114"/>
      <c r="C75" s="267" t="str">
        <f t="shared" si="0"/>
        <v>External Services</v>
      </c>
      <c r="D75" s="257" t="s">
        <v>122</v>
      </c>
      <c r="E75" s="302">
        <f t="shared" si="4"/>
        <v>0</v>
      </c>
      <c r="F75" s="320">
        <f t="shared" si="1"/>
        <v>0</v>
      </c>
      <c r="G75" s="1">
        <f t="shared" si="2"/>
        <v>0</v>
      </c>
      <c r="H75" s="319">
        <f t="shared" si="3"/>
        <v>0</v>
      </c>
      <c r="I75" s="1">
        <v>0</v>
      </c>
      <c r="J75" s="1"/>
      <c r="K75" s="1"/>
      <c r="L75" s="1"/>
      <c r="M75" s="1"/>
      <c r="N75" s="1"/>
      <c r="O75" s="1"/>
      <c r="P75" s="1"/>
      <c r="Q75" s="1"/>
      <c r="R75" s="1"/>
    </row>
    <row r="76" spans="2:18" s="4" customFormat="1" ht="18.5" thickBot="1" x14ac:dyDescent="0.45">
      <c r="B76" s="114"/>
      <c r="C76" s="294"/>
      <c r="D76" s="257"/>
      <c r="E76" s="30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2:18" s="4" customFormat="1" ht="41.25" customHeight="1" thickTop="1" x14ac:dyDescent="0.4">
      <c r="B77" s="114"/>
      <c r="C77" s="296" t="s">
        <v>139</v>
      </c>
      <c r="D77" s="257" t="s">
        <v>122</v>
      </c>
      <c r="E77" s="297">
        <f>SUM(E68:E75)</f>
        <v>305.74518860787225</v>
      </c>
      <c r="F77" s="1"/>
      <c r="G77" s="297">
        <f>18.68*E6</f>
        <v>302.61599999999999</v>
      </c>
      <c r="H77" s="319">
        <f>+E77-G77</f>
        <v>3.1291886078722655</v>
      </c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2:18" s="4" customFormat="1" ht="41.25" customHeight="1" thickBot="1" x14ac:dyDescent="0.45">
      <c r="B78" s="114"/>
      <c r="C78" s="304"/>
      <c r="D78" s="257"/>
      <c r="E78" s="30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2:18" s="4" customFormat="1" ht="18.5" thickTop="1" x14ac:dyDescent="0.4">
      <c r="B79" s="114"/>
      <c r="C79" s="305" t="s">
        <v>140</v>
      </c>
      <c r="D79" s="257"/>
      <c r="E79" s="306">
        <f>((1/$E$19)-1)*E41</f>
        <v>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2:18" s="4" customFormat="1" ht="18" x14ac:dyDescent="0.4">
      <c r="B80" s="114"/>
      <c r="C80" s="307" t="s">
        <v>141</v>
      </c>
      <c r="D80" s="257"/>
      <c r="E80" s="308">
        <f>((1/$E$19)-1)*E42</f>
        <v>174.09407240288328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2:18" s="4" customFormat="1" ht="18" x14ac:dyDescent="0.4">
      <c r="B81" s="114"/>
      <c r="C81" s="307" t="s">
        <v>142</v>
      </c>
      <c r="D81" s="257"/>
      <c r="E81" s="308">
        <f>((1/$E$19)-1)*E43</f>
        <v>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2:18" s="4" customFormat="1" ht="18" x14ac:dyDescent="0.4">
      <c r="B82" s="114"/>
      <c r="C82" s="307" t="s">
        <v>143</v>
      </c>
      <c r="D82" s="257"/>
      <c r="E82" s="308">
        <f>E64+SUM(E68:E75)</f>
        <v>208.76018860787218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2:18" s="4" customFormat="1" ht="18" x14ac:dyDescent="0.4">
      <c r="B83" s="114"/>
      <c r="C83" s="267" t="s">
        <v>144</v>
      </c>
      <c r="D83" s="257"/>
      <c r="E83" s="309">
        <f>SUM(E79:E82)*E20</f>
        <v>19142713.050537772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2:18" s="4" customFormat="1" ht="18" x14ac:dyDescent="0.4">
      <c r="B84" s="114"/>
      <c r="C84" s="294"/>
      <c r="D84" s="257"/>
      <c r="E84" s="30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2:18" s="4" customFormat="1" ht="18.5" thickBot="1" x14ac:dyDescent="0.45">
      <c r="B85" s="114"/>
      <c r="C85" s="294"/>
      <c r="D85" s="257"/>
      <c r="E85" s="30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2:18" s="4" customFormat="1" ht="18.5" thickTop="1" x14ac:dyDescent="0.4">
      <c r="B86" s="114"/>
      <c r="C86" s="305" t="s">
        <v>71</v>
      </c>
      <c r="D86" s="257" t="s">
        <v>122</v>
      </c>
      <c r="E86" s="306">
        <f>E77+E66</f>
        <v>7493.0310004439534</v>
      </c>
      <c r="F86" s="1">
        <f>E86/E6</f>
        <v>462.53277780518232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2:18" s="4" customFormat="1" ht="18" x14ac:dyDescent="0.4">
      <c r="B87" s="114"/>
      <c r="C87" s="267" t="s">
        <v>72</v>
      </c>
      <c r="D87" s="257" t="s">
        <v>12</v>
      </c>
      <c r="E87" s="309">
        <f>E86*E20</f>
        <v>374651550.02219766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2:18" s="4" customFormat="1" ht="18.5" thickBot="1" x14ac:dyDescent="0.45">
      <c r="B88" s="114"/>
      <c r="C88" s="294"/>
      <c r="D88" s="257"/>
      <c r="E88" s="30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2:18" s="4" customFormat="1" ht="38.25" customHeight="1" thickTop="1" x14ac:dyDescent="0.4">
      <c r="B89" s="114"/>
      <c r="C89" s="256" t="s">
        <v>74</v>
      </c>
      <c r="D89" s="257" t="s">
        <v>12</v>
      </c>
      <c r="E89" s="306">
        <f>E56</f>
        <v>97605191.799999997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2:18" s="4" customFormat="1" ht="38.25" customHeight="1" x14ac:dyDescent="0.4">
      <c r="B90" s="114"/>
      <c r="C90" s="264" t="s">
        <v>75</v>
      </c>
      <c r="D90" s="257" t="s">
        <v>12</v>
      </c>
      <c r="E90" s="301">
        <f>E57</f>
        <v>1667852.0055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2:18" s="4" customFormat="1" ht="38.25" customHeight="1" x14ac:dyDescent="0.4">
      <c r="B91" s="114"/>
      <c r="C91" s="264" t="s">
        <v>76</v>
      </c>
      <c r="D91" s="257" t="s">
        <v>12</v>
      </c>
      <c r="E91" s="301">
        <f>E58</f>
        <v>17918026.550000053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2:18" s="4" customFormat="1" ht="38.25" customHeight="1" x14ac:dyDescent="0.4">
      <c r="B92" s="114"/>
      <c r="C92" s="264" t="s">
        <v>77</v>
      </c>
      <c r="D92" s="257" t="s">
        <v>122</v>
      </c>
      <c r="E92" s="301">
        <f>E89/E20</f>
        <v>1952.103836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2:18" s="4" customFormat="1" ht="38.25" customHeight="1" x14ac:dyDescent="0.4">
      <c r="B93" s="114"/>
      <c r="C93" s="264" t="s">
        <v>78</v>
      </c>
      <c r="D93" s="257" t="s">
        <v>122</v>
      </c>
      <c r="E93" s="301">
        <f>E90/E20</f>
        <v>33.35704011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2:18" s="4" customFormat="1" ht="38.25" customHeight="1" x14ac:dyDescent="0.4">
      <c r="B94" s="114"/>
      <c r="C94" s="267" t="s">
        <v>79</v>
      </c>
      <c r="D94" s="257" t="s">
        <v>122</v>
      </c>
      <c r="E94" s="309">
        <f>E91/E20</f>
        <v>358.36053100000106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2:18" s="4" customFormat="1" ht="18.5" thickBot="1" x14ac:dyDescent="0.45">
      <c r="B95" s="114"/>
      <c r="C95" s="294"/>
      <c r="D95" s="257"/>
      <c r="E95" s="29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2:18" s="4" customFormat="1" ht="30.75" customHeight="1" thickTop="1" x14ac:dyDescent="0.4">
      <c r="B96" s="114"/>
      <c r="C96" s="310" t="s">
        <v>80</v>
      </c>
      <c r="D96" s="257" t="s">
        <v>122</v>
      </c>
      <c r="E96" s="306">
        <f>E92+E93+E94</f>
        <v>2343.821407110001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2:18" s="4" customFormat="1" ht="30.75" customHeight="1" x14ac:dyDescent="0.4">
      <c r="B97" s="114"/>
      <c r="C97" s="311" t="s">
        <v>81</v>
      </c>
      <c r="D97" s="257" t="s">
        <v>12</v>
      </c>
      <c r="E97" s="309">
        <f>E96*E20</f>
        <v>117191070.35550006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2:18" s="4" customFormat="1" ht="18.5" thickBot="1" x14ac:dyDescent="0.45">
      <c r="B98" s="114"/>
      <c r="C98" s="294"/>
      <c r="D98" s="257"/>
      <c r="E98" s="30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2:18" s="4" customFormat="1" ht="36.75" customHeight="1" thickTop="1" x14ac:dyDescent="0.4">
      <c r="B99" s="114"/>
      <c r="C99" s="312" t="s">
        <v>145</v>
      </c>
      <c r="D99" s="257" t="s">
        <v>122</v>
      </c>
      <c r="E99" s="313">
        <f>E86+E96</f>
        <v>9836.8524075539535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2:18" s="4" customFormat="1" ht="36.75" customHeight="1" x14ac:dyDescent="0.4">
      <c r="B100" s="114"/>
      <c r="C100" s="314" t="s">
        <v>146</v>
      </c>
      <c r="D100" s="257" t="s">
        <v>12</v>
      </c>
      <c r="E100" s="309">
        <f>E99*E20</f>
        <v>491842620.37769765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2:18" s="4" customFormat="1" ht="18.5" thickBot="1" x14ac:dyDescent="0.45">
      <c r="B101" s="114"/>
      <c r="C101" s="294"/>
      <c r="D101" s="257"/>
      <c r="E101" s="30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2:18" s="4" customFormat="1" ht="34.5" customHeight="1" thickTop="1" x14ac:dyDescent="0.4">
      <c r="B102" s="114"/>
      <c r="C102" s="256" t="s">
        <v>84</v>
      </c>
      <c r="D102" s="257" t="s">
        <v>5</v>
      </c>
      <c r="E102" s="315">
        <f>E100/'[1]Production Q. &amp; Sales (2)'!D78</f>
        <v>0.56946040830260358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2:18" s="4" customFormat="1" ht="34.5" customHeight="1" x14ac:dyDescent="0.4">
      <c r="B103" s="114"/>
      <c r="C103" s="264" t="s">
        <v>85</v>
      </c>
      <c r="D103" s="257" t="s">
        <v>122</v>
      </c>
      <c r="E103" s="301">
        <f>E99</f>
        <v>9836.8524075539535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2:18" s="4" customFormat="1" ht="34.5" customHeight="1" x14ac:dyDescent="0.4">
      <c r="B104" s="114"/>
      <c r="C104" s="264" t="s">
        <v>86</v>
      </c>
      <c r="D104" s="257" t="s">
        <v>122</v>
      </c>
      <c r="E104" s="301">
        <f>'[1]Production Q. &amp; Sales (2)'!D78/'[1]Production Q. &amp; Sales (2)'!D67</f>
        <v>10743.1860950712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2:18" s="4" customFormat="1" ht="34.5" customHeight="1" x14ac:dyDescent="0.4">
      <c r="B105" s="114"/>
      <c r="C105" s="267" t="s">
        <v>87</v>
      </c>
      <c r="D105" s="257" t="s">
        <v>122</v>
      </c>
      <c r="E105" s="309">
        <f>E104-E103</f>
        <v>906.33368751724629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2:18" x14ac:dyDescent="0.35">
      <c r="B106" s="1"/>
      <c r="C106" s="1"/>
      <c r="D106" s="25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2:18" x14ac:dyDescent="0.35">
      <c r="B107" s="1"/>
      <c r="C107" s="1"/>
      <c r="D107" s="25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2:18" x14ac:dyDescent="0.35">
      <c r="B108" s="1"/>
      <c r="C108" s="1"/>
      <c r="D108" s="25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2:18" x14ac:dyDescent="0.35">
      <c r="B109" s="1"/>
      <c r="C109" s="1"/>
      <c r="D109" s="25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2:18" x14ac:dyDescent="0.35">
      <c r="B110" s="1"/>
      <c r="C110" s="1"/>
      <c r="D110" s="25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2:18" x14ac:dyDescent="0.35">
      <c r="B111" s="1"/>
      <c r="C111" s="1"/>
      <c r="D111" s="25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2:18" x14ac:dyDescent="0.35">
      <c r="B112" s="1"/>
      <c r="C112" s="1"/>
      <c r="D112" s="25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2:18" x14ac:dyDescent="0.35">
      <c r="B113" s="1"/>
      <c r="C113" s="1"/>
      <c r="D113" s="25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2:18" x14ac:dyDescent="0.35">
      <c r="B114" s="1"/>
      <c r="C114" s="1"/>
      <c r="D114" s="25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2:18" x14ac:dyDescent="0.35">
      <c r="B115" s="1"/>
      <c r="C115" s="1"/>
      <c r="D115" s="25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2:18" x14ac:dyDescent="0.35">
      <c r="B116" s="1"/>
      <c r="C116" s="1"/>
      <c r="D116" s="25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2:18" x14ac:dyDescent="0.35">
      <c r="B117" s="1"/>
      <c r="C117" s="1"/>
      <c r="D117" s="25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</sheetData>
  <pageMargins left="1" right="0.25" top="0" bottom="0" header="0" footer="0"/>
  <pageSetup paperSize="8" scale="43" orientation="landscape" r:id="rId1"/>
  <headerFooter>
    <oddFooter>&amp;L&amp;F&amp;R&amp;A&amp;C&amp;"Calibri"&amp;11&amp;K000000&amp;P_x000D_&amp;1#&amp;"Calibri"&amp;10&amp;K737373EZDK Business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D6EBD"/>
  </sheetPr>
  <dimension ref="B1:V360"/>
  <sheetViews>
    <sheetView showGridLines="0" topLeftCell="A37" zoomScaleNormal="100" workbookViewId="0">
      <selection activeCell="E271" sqref="E271"/>
    </sheetView>
  </sheetViews>
  <sheetFormatPr defaultColWidth="9.1796875" defaultRowHeight="13.5" x14ac:dyDescent="0.35"/>
  <cols>
    <col min="1" max="1" width="9.1796875" style="4"/>
    <col min="2" max="2" width="2.26953125" style="4" customWidth="1"/>
    <col min="3" max="3" width="31.81640625" style="108" customWidth="1"/>
    <col min="4" max="4" width="7.81640625" style="109" customWidth="1"/>
    <col min="5" max="5" width="16.453125" style="4" customWidth="1"/>
    <col min="6" max="6" width="3.7265625" style="4" customWidth="1"/>
    <col min="7" max="7" width="16.81640625" style="4" bestFit="1" customWidth="1"/>
    <col min="8" max="8" width="14.453125" style="4" bestFit="1" customWidth="1"/>
    <col min="9" max="9" width="11.26953125" style="4" customWidth="1"/>
    <col min="10" max="10" width="19.54296875" style="4" bestFit="1" customWidth="1"/>
    <col min="11" max="16384" width="9.1796875" style="4"/>
  </cols>
  <sheetData>
    <row r="1" spans="2:22" ht="13" x14ac:dyDescent="0.3"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2:22" s="6" customFormat="1" ht="15" thickBot="1" x14ac:dyDescent="0.4">
      <c r="B2" s="2"/>
      <c r="C2" s="2"/>
      <c r="D2" s="3"/>
      <c r="E2" s="5" t="str">
        <f>'[1]EFS MS Flat'!N2</f>
        <v xml:space="preserve">Base 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14" thickTop="1" thickBot="1" x14ac:dyDescent="0.35">
      <c r="B3" s="2"/>
      <c r="C3" s="7" t="s">
        <v>0</v>
      </c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2" ht="14" thickTop="1" thickBot="1" x14ac:dyDescent="0.35">
      <c r="B4" s="2"/>
      <c r="C4" s="2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2" ht="14.5" thickTop="1" x14ac:dyDescent="0.3">
      <c r="B5" s="2"/>
      <c r="C5" s="9" t="s">
        <v>1</v>
      </c>
      <c r="D5" s="3"/>
      <c r="E5" s="10">
        <f>+Billet!D7</f>
        <v>16.2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2" ht="14" x14ac:dyDescent="0.3">
      <c r="B6" s="2"/>
      <c r="C6" s="12" t="s">
        <v>2</v>
      </c>
      <c r="D6" s="3"/>
      <c r="E6" s="1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2:22" ht="7.5" customHeight="1" thickBot="1" x14ac:dyDescent="0.35">
      <c r="B7" s="2"/>
      <c r="C7" s="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2" ht="15" thickTop="1" thickBot="1" x14ac:dyDescent="0.35">
      <c r="B8" s="2"/>
      <c r="C8" s="9" t="s">
        <v>3</v>
      </c>
      <c r="D8" s="3"/>
      <c r="E8" s="14">
        <v>1200000</v>
      </c>
      <c r="F8" s="1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2:22" ht="14.5" thickTop="1" x14ac:dyDescent="0.3">
      <c r="B9" s="2"/>
      <c r="C9" s="9" t="s">
        <v>4</v>
      </c>
      <c r="D9" s="3" t="s">
        <v>5</v>
      </c>
      <c r="E9" s="16">
        <v>1</v>
      </c>
      <c r="F9" s="1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2:22" ht="14" x14ac:dyDescent="0.3">
      <c r="B10" s="2"/>
      <c r="C10" s="12" t="s">
        <v>89</v>
      </c>
      <c r="D10" s="3"/>
      <c r="E10" s="19">
        <f>('Market Share'!G6+'Market Share'!G19)*1000</f>
        <v>85000</v>
      </c>
      <c r="F10" s="1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2:22" ht="14" x14ac:dyDescent="0.3">
      <c r="B11" s="2"/>
      <c r="C11" s="12"/>
      <c r="D11" s="3"/>
      <c r="E11" s="18"/>
      <c r="F11" s="1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2:22" ht="14" x14ac:dyDescent="0.3">
      <c r="B12" s="2"/>
      <c r="C12" s="12" t="s">
        <v>7</v>
      </c>
      <c r="D12" s="3" t="s">
        <v>5</v>
      </c>
      <c r="E12" s="16"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2" ht="14" x14ac:dyDescent="0.3">
      <c r="B13" s="2"/>
      <c r="C13" s="12" t="s">
        <v>8</v>
      </c>
      <c r="D13" s="3" t="s">
        <v>5</v>
      </c>
      <c r="E13" s="16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2:22" ht="6.75" customHeight="1" x14ac:dyDescent="0.3">
      <c r="B14" s="2"/>
      <c r="C14" s="12"/>
      <c r="D14" s="3"/>
      <c r="E14" s="1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2:22" ht="14" x14ac:dyDescent="0.3">
      <c r="B15" s="2"/>
      <c r="C15" s="12" t="s">
        <v>9</v>
      </c>
      <c r="D15" s="3" t="s">
        <v>10</v>
      </c>
      <c r="E15" s="20">
        <v>565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2:22" ht="14" x14ac:dyDescent="0.3">
      <c r="B16" s="2"/>
      <c r="C16" s="12" t="s">
        <v>11</v>
      </c>
      <c r="D16" s="3" t="s">
        <v>10</v>
      </c>
      <c r="E16" s="20">
        <v>677.69333333333338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2:20" ht="14" x14ac:dyDescent="0.3">
      <c r="B17" s="2"/>
      <c r="C17" s="12" t="s">
        <v>11</v>
      </c>
      <c r="D17" s="3" t="s">
        <v>12</v>
      </c>
      <c r="E17" s="13">
        <f>E16*E5</f>
        <v>10978.632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2:20" ht="8.25" customHeight="1" thickBot="1" x14ac:dyDescent="0.35">
      <c r="B18" s="2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2:20" ht="14.5" thickTop="1" x14ac:dyDescent="0.3">
      <c r="B19" s="2"/>
      <c r="C19" s="21" t="s">
        <v>13</v>
      </c>
      <c r="D19" s="22" t="s">
        <v>14</v>
      </c>
      <c r="E19" s="23">
        <f>E106</f>
        <v>88138.192057973254</v>
      </c>
      <c r="F19" s="2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2:20" ht="13" x14ac:dyDescent="0.3">
      <c r="B20" s="2"/>
      <c r="C20" s="24" t="s">
        <v>15</v>
      </c>
      <c r="D20" s="22" t="s">
        <v>5</v>
      </c>
      <c r="E20" s="25">
        <f>+Flat!E17%</f>
        <v>0.85219999999999996</v>
      </c>
      <c r="F20" s="2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2:20" ht="13" x14ac:dyDescent="0.3">
      <c r="B21" s="2"/>
      <c r="C21" s="29" t="s">
        <v>16</v>
      </c>
      <c r="D21" s="22" t="s">
        <v>14</v>
      </c>
      <c r="E21" s="30">
        <f>E19/E20</f>
        <v>103424.30422198224</v>
      </c>
      <c r="F21" s="2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2:20" ht="9" customHeight="1" thickBot="1" x14ac:dyDescent="0.35"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2:20" ht="15" thickTop="1" thickBot="1" x14ac:dyDescent="0.35">
      <c r="B23" s="2"/>
      <c r="C23" s="31" t="s">
        <v>17</v>
      </c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2:20" thickTop="1" x14ac:dyDescent="0.3">
      <c r="B24" s="2"/>
      <c r="C24" s="24" t="s">
        <v>18</v>
      </c>
      <c r="D24" s="32">
        <f>+Flat!E15%</f>
        <v>0.03</v>
      </c>
      <c r="E24" s="33">
        <f>D24*$E$21</f>
        <v>3102.7291266594671</v>
      </c>
      <c r="F24" s="2"/>
      <c r="G24" s="3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2:20" ht="13" x14ac:dyDescent="0.3">
      <c r="B25" s="2"/>
      <c r="C25" s="24" t="s">
        <v>19</v>
      </c>
      <c r="D25" s="32">
        <f>+Flat!E14%</f>
        <v>0.16998000000000002</v>
      </c>
      <c r="E25" s="35">
        <f>D25*$E$21</f>
        <v>17580.063231652544</v>
      </c>
      <c r="F25" s="2"/>
      <c r="G25" s="3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2:20" ht="13" x14ac:dyDescent="0.3">
      <c r="B26" s="2"/>
      <c r="C26" s="24" t="s">
        <v>20</v>
      </c>
      <c r="D26" s="32">
        <f>+Flat!E13%</f>
        <v>0.8</v>
      </c>
      <c r="E26" s="35">
        <f>D26*$E$21</f>
        <v>82739.443377585791</v>
      </c>
      <c r="F26" s="2"/>
      <c r="G26" s="3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2:20" ht="13" x14ac:dyDescent="0.3">
      <c r="B27" s="2"/>
      <c r="C27" s="24" t="s">
        <v>21</v>
      </c>
      <c r="D27" s="32">
        <v>0</v>
      </c>
      <c r="E27" s="35">
        <f>D27*$E$21</f>
        <v>0</v>
      </c>
      <c r="F27" s="2"/>
      <c r="G27" s="3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2:20" ht="13" x14ac:dyDescent="0.3">
      <c r="B28" s="2"/>
      <c r="C28" s="24" t="s">
        <v>22</v>
      </c>
      <c r="D28" s="32">
        <v>0</v>
      </c>
      <c r="E28" s="35">
        <f>D28*$E$21</f>
        <v>0</v>
      </c>
      <c r="F28" s="2"/>
      <c r="G28" s="3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2:20" ht="8.25" customHeight="1" x14ac:dyDescent="0.3">
      <c r="B29" s="2"/>
      <c r="C29" s="24"/>
      <c r="D29" s="36"/>
      <c r="E29" s="37"/>
      <c r="F29" s="2"/>
      <c r="G29" s="3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2:20" ht="13" x14ac:dyDescent="0.3">
      <c r="B30" s="2"/>
      <c r="C30" s="24" t="s">
        <v>23</v>
      </c>
      <c r="D30" s="38">
        <v>-3.267341082570191E-2</v>
      </c>
      <c r="E30" s="39">
        <f>+D30*E21</f>
        <v>-3379.2247812072023</v>
      </c>
      <c r="F30" s="2"/>
      <c r="G30" s="73"/>
      <c r="H30" s="3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2:20" thickBot="1" x14ac:dyDescent="0.35">
      <c r="B31" s="2"/>
      <c r="C31" s="24"/>
      <c r="D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2:20" thickTop="1" x14ac:dyDescent="0.3">
      <c r="B32" s="2"/>
      <c r="C32" s="24" t="s">
        <v>24</v>
      </c>
      <c r="D32" s="3" t="s">
        <v>25</v>
      </c>
      <c r="E32" s="33">
        <v>422.601588476686</v>
      </c>
      <c r="F32" s="40"/>
      <c r="G32" s="34"/>
      <c r="H32" s="3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2:20" ht="13" x14ac:dyDescent="0.3">
      <c r="B33" s="2"/>
      <c r="C33" s="42" t="s">
        <v>26</v>
      </c>
      <c r="D33" s="3" t="s">
        <v>25</v>
      </c>
      <c r="E33" s="43">
        <v>10.508597530041635</v>
      </c>
      <c r="F33" s="15"/>
      <c r="G33" s="34"/>
      <c r="H33" s="3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2:20" ht="13" x14ac:dyDescent="0.3">
      <c r="B34" s="2"/>
      <c r="C34" s="24" t="s">
        <v>27</v>
      </c>
      <c r="D34" s="3" t="s">
        <v>25</v>
      </c>
      <c r="E34" s="90">
        <v>2.5805617152642326</v>
      </c>
      <c r="F34" s="15"/>
      <c r="G34" s="3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2:20" ht="13" x14ac:dyDescent="0.3">
      <c r="B35" s="2"/>
      <c r="C35" s="24" t="s">
        <v>28</v>
      </c>
      <c r="D35" s="3" t="s">
        <v>25</v>
      </c>
      <c r="E35" s="45">
        <v>1.2842586100701208</v>
      </c>
      <c r="F35" s="15"/>
      <c r="G35" s="3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2:20" thickBot="1" x14ac:dyDescent="0.35">
      <c r="B36" s="2"/>
      <c r="C36" s="24"/>
      <c r="D36" s="3"/>
      <c r="E36" s="46"/>
      <c r="F36" s="15"/>
      <c r="G36" s="3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2:20" thickTop="1" x14ac:dyDescent="0.3">
      <c r="B37" s="2"/>
      <c r="C37" s="24" t="s">
        <v>214</v>
      </c>
      <c r="D37" s="22" t="s">
        <v>216</v>
      </c>
      <c r="E37" s="47">
        <f>+Flat!E20</f>
        <v>693.12</v>
      </c>
      <c r="F37" s="15"/>
      <c r="G37" s="34"/>
      <c r="H37" s="3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2:20" ht="13" x14ac:dyDescent="0.3">
      <c r="B38" s="2"/>
      <c r="C38" s="24" t="s">
        <v>215</v>
      </c>
      <c r="D38" s="22" t="s">
        <v>216</v>
      </c>
      <c r="E38" s="43">
        <v>239.71538869801327</v>
      </c>
      <c r="F38" s="15"/>
      <c r="G38" s="34"/>
      <c r="H38" s="3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2:20" ht="13" x14ac:dyDescent="0.3">
      <c r="B39" s="2"/>
      <c r="C39" s="24" t="s">
        <v>31</v>
      </c>
      <c r="D39" s="3" t="s">
        <v>32</v>
      </c>
      <c r="E39" s="43">
        <v>14.593054013829949</v>
      </c>
      <c r="F39" s="15"/>
      <c r="G39" s="34"/>
      <c r="H39" s="3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2:20" ht="13" x14ac:dyDescent="0.3">
      <c r="B40" s="2"/>
      <c r="C40" s="24" t="s">
        <v>33</v>
      </c>
      <c r="D40" s="3" t="s">
        <v>34</v>
      </c>
      <c r="E40" s="48">
        <v>1.5488840367719656</v>
      </c>
      <c r="F40" s="15"/>
      <c r="G40" s="34"/>
      <c r="H40" s="3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2:20" ht="13" x14ac:dyDescent="0.3">
      <c r="B41" s="2"/>
      <c r="C41" s="24" t="s">
        <v>35</v>
      </c>
      <c r="D41" s="3" t="s">
        <v>32</v>
      </c>
      <c r="E41" s="43">
        <v>34.797487538644887</v>
      </c>
      <c r="F41" s="15"/>
      <c r="G41" s="34"/>
      <c r="H41" s="3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2:20" ht="13" x14ac:dyDescent="0.3">
      <c r="B42" s="2"/>
      <c r="C42" s="24" t="s">
        <v>36</v>
      </c>
      <c r="D42" s="3" t="s">
        <v>32</v>
      </c>
      <c r="E42" s="43">
        <v>4.0864981185504865</v>
      </c>
      <c r="F42" s="15"/>
      <c r="G42" s="34"/>
      <c r="H42" s="3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2:20" ht="13" x14ac:dyDescent="0.3">
      <c r="B43" s="2"/>
      <c r="C43" s="24" t="s">
        <v>37</v>
      </c>
      <c r="D43" s="3" t="s">
        <v>32</v>
      </c>
      <c r="E43" s="45">
        <v>0.30455884119407506</v>
      </c>
      <c r="F43" s="15"/>
      <c r="G43" s="34"/>
      <c r="H43" s="3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2:20" thickBot="1" x14ac:dyDescent="0.35">
      <c r="B44" s="2"/>
      <c r="C44" s="24"/>
      <c r="D44" s="3"/>
      <c r="E44" s="15"/>
      <c r="F44" s="15"/>
      <c r="G44" s="3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2:20" thickTop="1" x14ac:dyDescent="0.3">
      <c r="B45" s="2"/>
      <c r="C45" s="42" t="s">
        <v>38</v>
      </c>
      <c r="D45" s="3" t="s">
        <v>25</v>
      </c>
      <c r="E45" s="33">
        <v>0.98684612494664881</v>
      </c>
      <c r="F45" s="15"/>
      <c r="G45" s="3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2:20" ht="13" x14ac:dyDescent="0.3">
      <c r="B46" s="2"/>
      <c r="C46" s="49" t="s">
        <v>39</v>
      </c>
      <c r="D46" s="3" t="s">
        <v>25</v>
      </c>
      <c r="E46" s="45">
        <v>0</v>
      </c>
      <c r="F46" s="15"/>
      <c r="G46" s="3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2:20" ht="9.75" customHeight="1" thickBot="1" x14ac:dyDescent="0.35">
      <c r="B47" s="2"/>
      <c r="C47" s="2"/>
      <c r="D47" s="3"/>
      <c r="E47" s="2"/>
      <c r="F47" s="2"/>
      <c r="G47" s="3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2:20" ht="15" thickTop="1" thickBot="1" x14ac:dyDescent="0.35">
      <c r="B48" s="2"/>
      <c r="C48" s="31" t="s">
        <v>40</v>
      </c>
      <c r="D48" s="3"/>
      <c r="E48" s="2"/>
      <c r="F48" s="2"/>
      <c r="G48" s="3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2:20" thickTop="1" x14ac:dyDescent="0.3">
      <c r="B49" s="2"/>
      <c r="C49" s="24" t="s">
        <v>18</v>
      </c>
      <c r="D49" s="3" t="s">
        <v>41</v>
      </c>
      <c r="E49" s="50">
        <f>+Flat!E10</f>
        <v>275.51</v>
      </c>
      <c r="F49" s="15"/>
      <c r="G49" s="3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2:20" ht="13" x14ac:dyDescent="0.3">
      <c r="B50" s="2"/>
      <c r="C50" s="24" t="s">
        <v>19</v>
      </c>
      <c r="D50" s="3" t="s">
        <v>41</v>
      </c>
      <c r="E50" s="51">
        <f>+Flat!E9</f>
        <v>248.87</v>
      </c>
      <c r="F50" s="15"/>
      <c r="G50" s="3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2:20" ht="13" x14ac:dyDescent="0.3">
      <c r="B51" s="2"/>
      <c r="C51" s="24" t="s">
        <v>20</v>
      </c>
      <c r="D51" s="3" t="s">
        <v>41</v>
      </c>
      <c r="E51" s="51">
        <f>+Flat!E8</f>
        <v>262.4212863756614</v>
      </c>
      <c r="F51" s="15"/>
      <c r="G51" s="3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2:20" ht="13" x14ac:dyDescent="0.3">
      <c r="B52" s="2"/>
      <c r="C52" s="24" t="s">
        <v>21</v>
      </c>
      <c r="D52" s="3" t="s">
        <v>41</v>
      </c>
      <c r="E52" s="51">
        <v>0</v>
      </c>
      <c r="F52" s="15"/>
      <c r="G52" s="3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2:20" ht="13" x14ac:dyDescent="0.3">
      <c r="B53" s="2"/>
      <c r="C53" s="24" t="s">
        <v>22</v>
      </c>
      <c r="D53" s="3" t="s">
        <v>41</v>
      </c>
      <c r="E53" s="51">
        <v>0</v>
      </c>
      <c r="F53" s="15"/>
      <c r="G53" s="3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2:20" ht="8.25" customHeight="1" x14ac:dyDescent="0.3">
      <c r="B54" s="2"/>
      <c r="C54" s="24"/>
      <c r="D54" s="3"/>
      <c r="E54" s="51"/>
      <c r="F54" s="15"/>
      <c r="G54" s="3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2:20" ht="13" x14ac:dyDescent="0.3">
      <c r="B55" s="2"/>
      <c r="C55" s="24" t="s">
        <v>42</v>
      </c>
      <c r="D55" s="3" t="s">
        <v>41</v>
      </c>
      <c r="E55" s="53">
        <v>352.50467887873486</v>
      </c>
      <c r="F55" s="15"/>
      <c r="G55" s="3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2:20" ht="10.5" customHeight="1" thickBot="1" x14ac:dyDescent="0.35">
      <c r="B56" s="2"/>
      <c r="C56" s="24"/>
      <c r="D56" s="3"/>
      <c r="E56" s="54"/>
      <c r="F56" s="2"/>
      <c r="G56" s="3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2:20" thickTop="1" x14ac:dyDescent="0.3">
      <c r="B57" s="2"/>
      <c r="C57" s="24" t="s">
        <v>24</v>
      </c>
      <c r="D57" s="3" t="s">
        <v>43</v>
      </c>
      <c r="E57" s="50">
        <v>66.357841871711656</v>
      </c>
      <c r="F57" s="15"/>
      <c r="G57" s="3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2:20" ht="13" x14ac:dyDescent="0.3">
      <c r="B58" s="2"/>
      <c r="C58" s="42" t="s">
        <v>26</v>
      </c>
      <c r="D58" s="3" t="s">
        <v>43</v>
      </c>
      <c r="E58" s="51">
        <v>916.67199025597972</v>
      </c>
      <c r="F58" s="15"/>
      <c r="G58" s="3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2:20" ht="13" x14ac:dyDescent="0.3">
      <c r="B59" s="2"/>
      <c r="C59" s="24" t="s">
        <v>27</v>
      </c>
      <c r="D59" s="3" t="s">
        <v>43</v>
      </c>
      <c r="E59" s="51">
        <v>6438.5500262824808</v>
      </c>
      <c r="F59" s="15"/>
      <c r="G59" s="3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2:20" ht="13" x14ac:dyDescent="0.3">
      <c r="B60" s="2"/>
      <c r="C60" s="24" t="s">
        <v>28</v>
      </c>
      <c r="D60" s="3" t="s">
        <v>43</v>
      </c>
      <c r="E60" s="53">
        <v>257.32978443211698</v>
      </c>
      <c r="F60" s="15"/>
      <c r="G60" s="3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2:20" ht="9" customHeight="1" thickBot="1" x14ac:dyDescent="0.35">
      <c r="B61" s="2"/>
      <c r="C61" s="55"/>
      <c r="D61" s="3"/>
      <c r="E61" s="56"/>
      <c r="F61" s="15"/>
      <c r="G61" s="3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2:20" thickTop="1" x14ac:dyDescent="0.3">
      <c r="B62" s="2"/>
      <c r="C62" s="24" t="s">
        <v>29</v>
      </c>
      <c r="D62" s="22" t="s">
        <v>44</v>
      </c>
      <c r="E62" s="57">
        <f>+Billet!E11</f>
        <v>7.0000000000000007E-2</v>
      </c>
      <c r="F62" s="15"/>
      <c r="G62" s="34"/>
      <c r="H62" s="34"/>
      <c r="I62" s="2"/>
      <c r="J62" s="34"/>
      <c r="K62" s="34"/>
      <c r="L62" s="2"/>
      <c r="M62" s="2"/>
      <c r="N62" s="2"/>
      <c r="O62" s="2"/>
      <c r="P62" s="2"/>
      <c r="Q62" s="2"/>
      <c r="R62" s="2"/>
      <c r="S62" s="2"/>
      <c r="T62" s="2"/>
    </row>
    <row r="63" spans="2:20" ht="13" x14ac:dyDescent="0.3">
      <c r="B63" s="2"/>
      <c r="C63" s="24" t="s">
        <v>31</v>
      </c>
      <c r="D63" s="22" t="s">
        <v>45</v>
      </c>
      <c r="E63" s="59">
        <v>0.25072464212651396</v>
      </c>
      <c r="F63" s="15"/>
      <c r="G63" s="34"/>
      <c r="H63" s="34"/>
      <c r="I63" s="2"/>
      <c r="J63" s="34"/>
      <c r="K63" s="34"/>
      <c r="L63" s="2"/>
      <c r="M63" s="2"/>
      <c r="N63" s="2"/>
      <c r="O63" s="2"/>
      <c r="P63" s="2"/>
      <c r="Q63" s="2"/>
      <c r="R63" s="2"/>
      <c r="S63" s="2"/>
      <c r="T63" s="2"/>
    </row>
    <row r="64" spans="2:20" ht="13" x14ac:dyDescent="0.3">
      <c r="B64" s="2"/>
      <c r="C64" s="24" t="s">
        <v>33</v>
      </c>
      <c r="D64" s="22" t="s">
        <v>46</v>
      </c>
      <c r="E64" s="59">
        <v>0.27163955106549381</v>
      </c>
      <c r="F64" s="15"/>
      <c r="G64" s="34"/>
      <c r="H64" s="34"/>
      <c r="I64" s="2"/>
      <c r="J64" s="34"/>
      <c r="K64" s="34"/>
      <c r="L64" s="2"/>
      <c r="M64" s="2"/>
      <c r="N64" s="2"/>
      <c r="O64" s="2"/>
      <c r="P64" s="2"/>
      <c r="Q64" s="2"/>
      <c r="R64" s="2"/>
      <c r="S64" s="2"/>
      <c r="T64" s="2"/>
    </row>
    <row r="65" spans="2:20" ht="13" x14ac:dyDescent="0.3">
      <c r="B65" s="2"/>
      <c r="C65" s="24" t="s">
        <v>35</v>
      </c>
      <c r="D65" s="22" t="s">
        <v>45</v>
      </c>
      <c r="E65" s="59">
        <v>0.15799750333485754</v>
      </c>
      <c r="F65" s="15"/>
      <c r="G65" s="34"/>
      <c r="H65" s="34"/>
      <c r="I65" s="2"/>
      <c r="J65" s="2"/>
      <c r="K65" s="34"/>
      <c r="L65" s="2"/>
      <c r="M65" s="2"/>
      <c r="N65" s="2"/>
      <c r="O65" s="2"/>
      <c r="P65" s="2"/>
      <c r="Q65" s="2"/>
      <c r="R65" s="2"/>
      <c r="S65" s="2"/>
      <c r="T65" s="2"/>
    </row>
    <row r="66" spans="2:20" ht="13" x14ac:dyDescent="0.3">
      <c r="B66" s="2"/>
      <c r="C66" s="24" t="s">
        <v>36</v>
      </c>
      <c r="D66" s="22" t="s">
        <v>45</v>
      </c>
      <c r="E66" s="59">
        <v>0.17166474630834158</v>
      </c>
      <c r="F66" s="15"/>
      <c r="G66" s="34"/>
      <c r="H66" s="34"/>
      <c r="I66" s="2"/>
      <c r="J66" s="2"/>
      <c r="K66" s="34"/>
      <c r="L66" s="2"/>
      <c r="M66" s="2"/>
      <c r="N66" s="2"/>
      <c r="O66" s="2"/>
      <c r="P66" s="2"/>
      <c r="Q66" s="2"/>
      <c r="R66" s="2"/>
      <c r="S66" s="2"/>
      <c r="T66" s="2"/>
    </row>
    <row r="67" spans="2:20" ht="13" x14ac:dyDescent="0.3">
      <c r="B67" s="2"/>
      <c r="C67" s="24" t="s">
        <v>37</v>
      </c>
      <c r="D67" s="22" t="s">
        <v>45</v>
      </c>
      <c r="E67" s="60">
        <v>1.9283673168637039</v>
      </c>
      <c r="F67" s="15"/>
      <c r="G67" s="34"/>
      <c r="H67" s="34"/>
      <c r="I67" s="2"/>
      <c r="J67" s="2"/>
      <c r="K67" s="34"/>
      <c r="L67" s="2"/>
      <c r="M67" s="2"/>
      <c r="N67" s="2"/>
      <c r="O67" s="2"/>
      <c r="P67" s="2"/>
      <c r="Q67" s="2"/>
      <c r="R67" s="2"/>
      <c r="S67" s="2"/>
      <c r="T67" s="2"/>
    </row>
    <row r="68" spans="2:20" thickBot="1" x14ac:dyDescent="0.35">
      <c r="B68" s="2"/>
      <c r="C68" s="24"/>
      <c r="D68" s="3"/>
      <c r="E68" s="56"/>
      <c r="F68" s="15"/>
      <c r="G68" s="3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2:20" thickTop="1" x14ac:dyDescent="0.3">
      <c r="B69" s="2"/>
      <c r="C69" s="42" t="s">
        <v>38</v>
      </c>
      <c r="D69" s="3" t="s">
        <v>41</v>
      </c>
      <c r="E69" s="50">
        <v>0</v>
      </c>
      <c r="F69" s="15"/>
      <c r="G69" s="3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2:20" ht="13" x14ac:dyDescent="0.3">
      <c r="B70" s="2"/>
      <c r="C70" s="49" t="s">
        <v>39</v>
      </c>
      <c r="D70" s="3" t="s">
        <v>41</v>
      </c>
      <c r="E70" s="53">
        <v>0</v>
      </c>
      <c r="F70" s="15"/>
      <c r="G70" s="3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2:20" ht="11.25" customHeight="1" thickBot="1" x14ac:dyDescent="0.35">
      <c r="B71" s="2"/>
      <c r="C71" s="2"/>
      <c r="D71" s="3"/>
      <c r="E71" s="2"/>
      <c r="F71" s="2"/>
      <c r="G71" s="3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2:20" ht="15" thickTop="1" thickBot="1" x14ac:dyDescent="0.35">
      <c r="B72" s="2"/>
      <c r="C72" s="31" t="s">
        <v>47</v>
      </c>
      <c r="D72" s="3"/>
      <c r="E72" s="2"/>
      <c r="F72" s="2"/>
      <c r="G72" s="3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2:20" thickTop="1" x14ac:dyDescent="0.3">
      <c r="B73" s="2"/>
      <c r="C73" s="24" t="s">
        <v>18</v>
      </c>
      <c r="D73" s="3" t="s">
        <v>41</v>
      </c>
      <c r="E73" s="58">
        <f>E24*E49/E$19</f>
        <v>9.698779629195025</v>
      </c>
      <c r="F73" s="63"/>
      <c r="G73" s="65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2:20" ht="13" x14ac:dyDescent="0.3">
      <c r="B74" s="2"/>
      <c r="C74" s="24" t="s">
        <v>19</v>
      </c>
      <c r="D74" s="3" t="s">
        <v>41</v>
      </c>
      <c r="E74" s="66">
        <f>E25*E50/E$19</f>
        <v>49.639665102088728</v>
      </c>
      <c r="F74" s="63"/>
      <c r="G74" s="6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2:20" ht="13" x14ac:dyDescent="0.3">
      <c r="B75" s="2"/>
      <c r="C75" s="24" t="s">
        <v>20</v>
      </c>
      <c r="D75" s="3" t="s">
        <v>41</v>
      </c>
      <c r="E75" s="67">
        <f>E26*E51/E$19</f>
        <v>246.34713576687298</v>
      </c>
      <c r="F75" s="63"/>
      <c r="G75" s="6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2:20" ht="13" x14ac:dyDescent="0.3">
      <c r="B76" s="2"/>
      <c r="C76" s="24" t="s">
        <v>21</v>
      </c>
      <c r="D76" s="3" t="s">
        <v>41</v>
      </c>
      <c r="E76" s="67">
        <f>E27*E52/E$19</f>
        <v>0</v>
      </c>
      <c r="F76" s="63"/>
      <c r="G76" s="6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2:20" ht="13" x14ac:dyDescent="0.3">
      <c r="B77" s="2"/>
      <c r="C77" s="24" t="s">
        <v>22</v>
      </c>
      <c r="D77" s="3" t="s">
        <v>41</v>
      </c>
      <c r="E77" s="67">
        <f>E28*E53/E$19</f>
        <v>0</v>
      </c>
      <c r="F77" s="63"/>
      <c r="G77" s="6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2:20" ht="8.25" customHeight="1" x14ac:dyDescent="0.3">
      <c r="B78" s="2"/>
      <c r="C78" s="24"/>
      <c r="D78" s="3"/>
      <c r="E78" s="67"/>
      <c r="F78" s="63"/>
      <c r="G78" s="6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2:20" ht="13" x14ac:dyDescent="0.3">
      <c r="B79" s="2"/>
      <c r="C79" s="24" t="s">
        <v>42</v>
      </c>
      <c r="D79" s="3" t="s">
        <v>41</v>
      </c>
      <c r="E79" s="37">
        <f>E30*E55/E$19</f>
        <v>-13.515055375483495</v>
      </c>
      <c r="F79" s="63"/>
      <c r="G79" s="65"/>
      <c r="H79" s="2"/>
      <c r="I79" s="69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2:20" thickBot="1" x14ac:dyDescent="0.35">
      <c r="B80" s="2"/>
      <c r="C80" s="24"/>
      <c r="D80" s="3"/>
      <c r="E80" s="70"/>
      <c r="F80" s="63"/>
      <c r="G80" s="3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2:20" thickTop="1" x14ac:dyDescent="0.3">
      <c r="B81" s="2"/>
      <c r="C81" s="24" t="s">
        <v>24</v>
      </c>
      <c r="D81" s="3" t="s">
        <v>41</v>
      </c>
      <c r="E81" s="64">
        <f>E57*E32/1000</f>
        <v>28.042929382870092</v>
      </c>
      <c r="F81" s="63"/>
      <c r="G81" s="234"/>
      <c r="H81" s="34"/>
      <c r="I81" s="2"/>
      <c r="J81" s="34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2:20" ht="13" x14ac:dyDescent="0.3">
      <c r="B82" s="2"/>
      <c r="C82" s="24" t="s">
        <v>26</v>
      </c>
      <c r="D82" s="3" t="s">
        <v>41</v>
      </c>
      <c r="E82" s="71">
        <f>E58*E33/1000</f>
        <v>9.6329370126623388</v>
      </c>
      <c r="F82" s="63"/>
      <c r="G82" s="234"/>
      <c r="H82" s="34"/>
      <c r="I82" s="2"/>
      <c r="J82" s="34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2:20" ht="13" x14ac:dyDescent="0.3">
      <c r="B83" s="2"/>
      <c r="C83" s="24" t="s">
        <v>27</v>
      </c>
      <c r="D83" s="3" t="s">
        <v>41</v>
      </c>
      <c r="E83" s="66">
        <f>E59*E34/1000</f>
        <v>16.615075699638087</v>
      </c>
      <c r="F83" s="63"/>
      <c r="G83" s="234"/>
      <c r="H83" s="2"/>
      <c r="I83" s="2"/>
      <c r="J83" s="34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2:20" ht="13" x14ac:dyDescent="0.3">
      <c r="B84" s="2"/>
      <c r="C84" s="24" t="s">
        <v>28</v>
      </c>
      <c r="D84" s="3" t="s">
        <v>41</v>
      </c>
      <c r="E84" s="68">
        <f>E60*E35/1000</f>
        <v>0.33047799128443439</v>
      </c>
      <c r="F84" s="63"/>
      <c r="G84" s="234"/>
      <c r="H84" s="2"/>
      <c r="I84" s="2"/>
      <c r="J84" s="34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2:20" ht="14.5" thickBot="1" x14ac:dyDescent="0.35">
      <c r="B85" s="2"/>
      <c r="C85" s="55"/>
      <c r="D85" s="3"/>
      <c r="E85" s="63"/>
      <c r="F85" s="63"/>
      <c r="G85" s="3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2:20" thickTop="1" x14ac:dyDescent="0.3">
      <c r="B86" s="2"/>
      <c r="C86" s="24" t="s">
        <v>214</v>
      </c>
      <c r="D86" s="22" t="s">
        <v>44</v>
      </c>
      <c r="E86" s="58">
        <f>E62*E37</f>
        <v>48.518400000000007</v>
      </c>
      <c r="F86" s="63"/>
      <c r="G86" s="234"/>
      <c r="H86" s="34"/>
      <c r="I86" s="2"/>
      <c r="J86" s="34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2:20" ht="13" x14ac:dyDescent="0.3">
      <c r="B87" s="2"/>
      <c r="C87" s="24" t="s">
        <v>215</v>
      </c>
      <c r="D87" s="22" t="s">
        <v>44</v>
      </c>
      <c r="E87" s="37">
        <f t="shared" ref="E87:E92" si="0">E62*E38</f>
        <v>16.780077208860931</v>
      </c>
      <c r="F87" s="63"/>
      <c r="G87" s="234"/>
      <c r="H87" s="2"/>
      <c r="I87" s="2"/>
      <c r="J87" s="34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2:20" ht="13" x14ac:dyDescent="0.3">
      <c r="B88" s="2"/>
      <c r="C88" s="24" t="s">
        <v>31</v>
      </c>
      <c r="D88" s="22" t="s">
        <v>45</v>
      </c>
      <c r="E88" s="37">
        <f t="shared" si="0"/>
        <v>3.658838245150402</v>
      </c>
      <c r="F88" s="63"/>
      <c r="G88" s="234"/>
      <c r="H88" s="34"/>
      <c r="I88" s="2"/>
      <c r="J88" s="34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2:20" ht="13" x14ac:dyDescent="0.3">
      <c r="B89" s="2"/>
      <c r="C89" s="24" t="s">
        <v>33</v>
      </c>
      <c r="D89" s="22" t="s">
        <v>46</v>
      </c>
      <c r="E89" s="37">
        <f t="shared" si="0"/>
        <v>0.42073816440124656</v>
      </c>
      <c r="F89" s="63"/>
      <c r="G89" s="234"/>
      <c r="H89" s="34"/>
      <c r="I89" s="2"/>
      <c r="J89" s="34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2:20" ht="13" x14ac:dyDescent="0.3">
      <c r="B90" s="2"/>
      <c r="C90" s="24" t="s">
        <v>35</v>
      </c>
      <c r="D90" s="22" t="s">
        <v>45</v>
      </c>
      <c r="E90" s="37">
        <f t="shared" si="0"/>
        <v>5.4979161534317091</v>
      </c>
      <c r="F90" s="63"/>
      <c r="G90" s="234"/>
      <c r="H90" s="34"/>
      <c r="I90" s="2"/>
      <c r="J90" s="34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2:20" ht="13" x14ac:dyDescent="0.3">
      <c r="B91" s="2"/>
      <c r="C91" s="24" t="s">
        <v>36</v>
      </c>
      <c r="D91" s="22" t="s">
        <v>45</v>
      </c>
      <c r="E91" s="37">
        <f t="shared" si="0"/>
        <v>0.70150766281048449</v>
      </c>
      <c r="F91" s="63"/>
      <c r="G91" s="234"/>
      <c r="H91" s="34"/>
      <c r="I91" s="2"/>
      <c r="J91" s="34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2:20" ht="13" x14ac:dyDescent="0.3">
      <c r="B92" s="2"/>
      <c r="C92" s="24" t="s">
        <v>37</v>
      </c>
      <c r="D92" s="22" t="s">
        <v>45</v>
      </c>
      <c r="E92" s="61">
        <f t="shared" si="0"/>
        <v>0.58730131542053743</v>
      </c>
      <c r="F92" s="63"/>
      <c r="G92" s="234"/>
      <c r="H92" s="34"/>
      <c r="I92" s="2"/>
      <c r="J92" s="34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2:20" thickBot="1" x14ac:dyDescent="0.35">
      <c r="B93" s="2"/>
      <c r="C93" s="24"/>
      <c r="D93" s="3"/>
      <c r="E93" s="63"/>
      <c r="F93" s="63"/>
      <c r="G93" s="6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2:20" thickTop="1" x14ac:dyDescent="0.3">
      <c r="B94" s="2"/>
      <c r="C94" s="24" t="s">
        <v>38</v>
      </c>
      <c r="D94" s="3" t="s">
        <v>41</v>
      </c>
      <c r="E94" s="74">
        <f>E69*E45</f>
        <v>0</v>
      </c>
      <c r="F94" s="63"/>
      <c r="G94" s="73">
        <f>SUM(E81:E84)+SUM(E86:E92)+SUM(E94:E95)</f>
        <v>130.78619883653025</v>
      </c>
      <c r="H94" s="2">
        <f>G94*E19</f>
        <v>11527259.111586381</v>
      </c>
      <c r="I94" s="2"/>
      <c r="J94" s="34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2:20" ht="13" x14ac:dyDescent="0.3">
      <c r="B95" s="2"/>
      <c r="C95" s="29" t="s">
        <v>39</v>
      </c>
      <c r="D95" s="3" t="s">
        <v>41</v>
      </c>
      <c r="E95" s="72">
        <f>E70*E46</f>
        <v>0</v>
      </c>
      <c r="F95" s="63"/>
      <c r="G95" s="62"/>
      <c r="H95" s="62"/>
      <c r="I95" s="2"/>
      <c r="J95" s="62"/>
      <c r="K95" s="2"/>
      <c r="N95" s="2"/>
      <c r="O95" s="2"/>
      <c r="P95" s="2"/>
      <c r="Q95" s="2"/>
      <c r="R95" s="2"/>
      <c r="S95" s="2"/>
      <c r="T95" s="2"/>
    </row>
    <row r="96" spans="2:20" ht="13" x14ac:dyDescent="0.3">
      <c r="B96" s="2"/>
      <c r="C96" s="75" t="s">
        <v>48</v>
      </c>
      <c r="D96" s="76" t="s">
        <v>41</v>
      </c>
      <c r="E96" s="77">
        <f>((1/E20)-1)*$D$24*E49</f>
        <v>1.4334796291950243</v>
      </c>
      <c r="F96" s="77"/>
      <c r="G96" s="3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2:20" ht="13" x14ac:dyDescent="0.3">
      <c r="B97" s="2"/>
      <c r="C97" s="75" t="s">
        <v>49</v>
      </c>
      <c r="D97" s="76" t="s">
        <v>41</v>
      </c>
      <c r="E97" s="77">
        <f>((1/E20)-1)*$D$25*E50</f>
        <v>7.3367425020887111</v>
      </c>
      <c r="F97" s="77"/>
      <c r="G97" s="3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2:20" ht="13" x14ac:dyDescent="0.3">
      <c r="B98" s="2"/>
      <c r="C98" s="75" t="s">
        <v>50</v>
      </c>
      <c r="D98" s="76" t="s">
        <v>41</v>
      </c>
      <c r="E98" s="77">
        <f>((1/E20)-1)*$D$26*E51</f>
        <v>36.410106666343815</v>
      </c>
      <c r="F98" s="77"/>
      <c r="G98" s="3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2:20" thickBot="1" x14ac:dyDescent="0.35">
      <c r="B99" s="2"/>
      <c r="C99" s="78" t="s">
        <v>51</v>
      </c>
      <c r="D99" s="79" t="s">
        <v>41</v>
      </c>
      <c r="E99" s="80">
        <f>SUM(E79:E98)</f>
        <v>162.4514722586743</v>
      </c>
      <c r="F99" s="80"/>
      <c r="G99" s="3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2:20" ht="14.5" thickTop="1" x14ac:dyDescent="0.3">
      <c r="B100" s="2"/>
      <c r="C100" s="9" t="s">
        <v>52</v>
      </c>
      <c r="D100" s="3" t="s">
        <v>41</v>
      </c>
      <c r="E100" s="81">
        <f>SUM(E73:E79)+SUM(E81:E84)+SUM(E86:E92)+SUM(E94:E95)</f>
        <v>422.95672395920354</v>
      </c>
      <c r="F100" s="6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2:20" thickBot="1" x14ac:dyDescent="0.35">
      <c r="B101" s="2"/>
      <c r="C101" s="2"/>
      <c r="D101" s="22"/>
      <c r="E101" s="83"/>
      <c r="F101" s="2"/>
      <c r="G101" s="3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2:20" thickBot="1" x14ac:dyDescent="0.35">
      <c r="B102" s="2"/>
      <c r="C102" s="7" t="s">
        <v>282</v>
      </c>
      <c r="D102" s="3"/>
      <c r="E102" s="2"/>
      <c r="F102" s="2"/>
      <c r="G102" s="3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2:20" ht="14" thickTop="1" thickBot="1" x14ac:dyDescent="0.35">
      <c r="B103" s="2"/>
      <c r="C103" s="2"/>
      <c r="D103" s="3"/>
      <c r="E103" s="2"/>
      <c r="F103" s="2"/>
      <c r="G103" s="3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2:20" ht="14.5" thickTop="1" x14ac:dyDescent="0.3">
      <c r="B104" s="2"/>
      <c r="C104" s="21" t="s">
        <v>90</v>
      </c>
      <c r="D104" s="206">
        <f>E158/E104</f>
        <v>1</v>
      </c>
      <c r="E104" s="207">
        <f>+E158</f>
        <v>87018.837018837003</v>
      </c>
      <c r="F104" s="22"/>
      <c r="G104" s="3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2:20" ht="13" x14ac:dyDescent="0.3">
      <c r="B105" s="2"/>
      <c r="C105" s="24" t="s">
        <v>15</v>
      </c>
      <c r="D105" s="22" t="s">
        <v>5</v>
      </c>
      <c r="E105" s="25">
        <f>+Flat!E18%</f>
        <v>0.98730000000000007</v>
      </c>
      <c r="F105" s="26"/>
      <c r="G105" s="3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2:20" ht="13" x14ac:dyDescent="0.3">
      <c r="B106" s="2"/>
      <c r="C106" s="29" t="s">
        <v>54</v>
      </c>
      <c r="D106" s="22" t="s">
        <v>14</v>
      </c>
      <c r="E106" s="30">
        <f>E104/E105</f>
        <v>88138.192057973254</v>
      </c>
      <c r="F106" s="22"/>
      <c r="G106" s="3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2:20" ht="24" customHeight="1" thickBot="1" x14ac:dyDescent="0.35">
      <c r="B107" s="2"/>
      <c r="C107" s="2"/>
      <c r="D107" s="3"/>
      <c r="E107" s="2"/>
      <c r="F107" s="2"/>
      <c r="G107" s="3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2:20" ht="14.5" thickTop="1" x14ac:dyDescent="0.3">
      <c r="B108" s="2"/>
      <c r="C108" s="31" t="s">
        <v>17</v>
      </c>
      <c r="D108" s="3"/>
      <c r="E108" s="2"/>
      <c r="F108" s="2"/>
      <c r="G108" s="3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2:20" ht="13" x14ac:dyDescent="0.3">
      <c r="B109" s="2"/>
      <c r="C109" s="24" t="s">
        <v>56</v>
      </c>
      <c r="D109" s="208">
        <v>-2.6319847269065588E-3</v>
      </c>
      <c r="E109" s="39">
        <f>+D109*E106</f>
        <v>-231.97837535374256</v>
      </c>
      <c r="F109" s="34"/>
      <c r="G109" s="3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2:20" thickBot="1" x14ac:dyDescent="0.35">
      <c r="B110" s="2"/>
      <c r="C110" s="24"/>
      <c r="D110" s="3"/>
      <c r="E110" s="209"/>
      <c r="F110" s="34"/>
      <c r="G110" s="3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2:20" thickTop="1" x14ac:dyDescent="0.3">
      <c r="B111" s="2"/>
      <c r="C111" s="24" t="s">
        <v>24</v>
      </c>
      <c r="D111" s="3" t="s">
        <v>25</v>
      </c>
      <c r="E111" s="50">
        <v>3.0214385742401151E-3</v>
      </c>
      <c r="F111" s="56"/>
      <c r="G111" s="3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2:20" ht="13" x14ac:dyDescent="0.3">
      <c r="B112" s="2"/>
      <c r="C112" s="42" t="s">
        <v>26</v>
      </c>
      <c r="D112" s="22" t="s">
        <v>25</v>
      </c>
      <c r="E112" s="53">
        <v>1.8375495925978551</v>
      </c>
      <c r="F112" s="210"/>
      <c r="G112" s="34"/>
      <c r="H112" s="2"/>
      <c r="I112" s="3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2:20" thickBot="1" x14ac:dyDescent="0.35">
      <c r="B113" s="2"/>
      <c r="C113" s="24"/>
      <c r="D113" s="3"/>
      <c r="E113" s="56"/>
      <c r="F113" s="56"/>
      <c r="G113" s="3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2:20" thickTop="1" x14ac:dyDescent="0.3">
      <c r="B114" s="2"/>
      <c r="C114" s="24" t="s">
        <v>29</v>
      </c>
      <c r="D114" s="3" t="s">
        <v>30</v>
      </c>
      <c r="E114" s="50">
        <v>5.3838798137343549</v>
      </c>
      <c r="F114" s="56"/>
      <c r="G114" s="3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2:20" ht="13" x14ac:dyDescent="0.3">
      <c r="B115" s="2"/>
      <c r="C115" s="24" t="s">
        <v>31</v>
      </c>
      <c r="D115" s="3" t="s">
        <v>32</v>
      </c>
      <c r="E115" s="51">
        <v>6.7045074511265046</v>
      </c>
      <c r="F115" s="56"/>
      <c r="G115" s="3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2:20" ht="13" x14ac:dyDescent="0.3">
      <c r="B116" s="2"/>
      <c r="C116" s="24" t="s">
        <v>33</v>
      </c>
      <c r="D116" s="3" t="s">
        <v>34</v>
      </c>
      <c r="E116" s="51">
        <v>0.49838629282090652</v>
      </c>
      <c r="F116" s="56"/>
      <c r="G116" s="3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2:20" ht="13" x14ac:dyDescent="0.3">
      <c r="B117" s="2"/>
      <c r="C117" s="24" t="s">
        <v>35</v>
      </c>
      <c r="D117" s="3" t="s">
        <v>32</v>
      </c>
      <c r="E117" s="51">
        <v>3.4813015252394575</v>
      </c>
      <c r="F117" s="56"/>
      <c r="G117" s="3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2:20" ht="13" x14ac:dyDescent="0.3">
      <c r="B118" s="2"/>
      <c r="C118" s="24" t="s">
        <v>36</v>
      </c>
      <c r="D118" s="3" t="s">
        <v>32</v>
      </c>
      <c r="E118" s="51">
        <v>0</v>
      </c>
      <c r="F118" s="56"/>
      <c r="G118" s="3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2:20" ht="13" x14ac:dyDescent="0.3">
      <c r="B119" s="2"/>
      <c r="C119" s="29" t="s">
        <v>37</v>
      </c>
      <c r="D119" s="22" t="s">
        <v>32</v>
      </c>
      <c r="E119" s="53">
        <v>7.1219623535659794E-4</v>
      </c>
      <c r="F119" s="210"/>
      <c r="G119" s="3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2:20" ht="9" customHeight="1" thickBot="1" x14ac:dyDescent="0.35">
      <c r="B120" s="2"/>
      <c r="C120" s="2"/>
      <c r="D120" s="3"/>
      <c r="E120" s="34"/>
      <c r="F120" s="34"/>
      <c r="G120" s="3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2:20" ht="15" thickTop="1" thickBot="1" x14ac:dyDescent="0.35">
      <c r="B121" s="2"/>
      <c r="C121" s="31" t="s">
        <v>40</v>
      </c>
      <c r="D121" s="3"/>
      <c r="E121" s="34"/>
      <c r="F121" s="34"/>
      <c r="G121" s="3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2:20" thickTop="1" x14ac:dyDescent="0.3">
      <c r="B122" s="2"/>
      <c r="C122" s="24" t="s">
        <v>57</v>
      </c>
      <c r="D122" s="3" t="s">
        <v>41</v>
      </c>
      <c r="E122" s="23">
        <f>+E100</f>
        <v>422.95672395920354</v>
      </c>
      <c r="F122" s="34"/>
      <c r="G122" s="3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2:20" ht="8.25" customHeight="1" x14ac:dyDescent="0.3">
      <c r="B123" s="2"/>
      <c r="C123" s="24"/>
      <c r="D123" s="3"/>
      <c r="E123" s="19"/>
      <c r="F123" s="34"/>
      <c r="G123" s="3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2:20" ht="13" x14ac:dyDescent="0.3">
      <c r="B124" s="2"/>
      <c r="C124" s="24" t="s">
        <v>56</v>
      </c>
      <c r="D124" s="3" t="s">
        <v>41</v>
      </c>
      <c r="E124" s="39">
        <v>350.28906472110947</v>
      </c>
      <c r="F124" s="40"/>
      <c r="G124" s="3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2:20" ht="10.5" customHeight="1" thickBot="1" x14ac:dyDescent="0.35">
      <c r="B125" s="2"/>
      <c r="C125" s="24"/>
      <c r="D125" s="3"/>
      <c r="E125" s="211"/>
      <c r="F125" s="40"/>
      <c r="G125" s="3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2:20" thickTop="1" x14ac:dyDescent="0.3">
      <c r="B126" s="2"/>
      <c r="C126" s="24" t="s">
        <v>24</v>
      </c>
      <c r="D126" s="3" t="s">
        <v>43</v>
      </c>
      <c r="E126" s="84">
        <v>559.92857142856997</v>
      </c>
      <c r="F126" s="85"/>
      <c r="G126" s="3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2:20" ht="13" x14ac:dyDescent="0.3">
      <c r="B127" s="2"/>
      <c r="C127" s="42" t="s">
        <v>26</v>
      </c>
      <c r="D127" s="3" t="s">
        <v>43</v>
      </c>
      <c r="E127" s="86">
        <v>1013.8652484208218</v>
      </c>
      <c r="F127" s="85"/>
      <c r="G127" s="3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2:20" ht="9" customHeight="1" thickBot="1" x14ac:dyDescent="0.35">
      <c r="B128" s="2"/>
      <c r="C128" s="55"/>
      <c r="D128" s="3"/>
      <c r="E128" s="85"/>
      <c r="F128" s="85"/>
      <c r="G128" s="3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2:20" thickTop="1" x14ac:dyDescent="0.3">
      <c r="B129" s="2"/>
      <c r="C129" s="24" t="s">
        <v>29</v>
      </c>
      <c r="D129" s="22" t="s">
        <v>44</v>
      </c>
      <c r="E129" s="57">
        <f>+E62</f>
        <v>7.0000000000000007E-2</v>
      </c>
      <c r="F129" s="212"/>
      <c r="G129" s="3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2:20" ht="13" x14ac:dyDescent="0.3">
      <c r="B130" s="2"/>
      <c r="C130" s="24" t="s">
        <v>31</v>
      </c>
      <c r="D130" s="22" t="s">
        <v>45</v>
      </c>
      <c r="E130" s="59">
        <v>0.25072464212651396</v>
      </c>
      <c r="F130" s="212"/>
      <c r="G130" s="3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2:20" ht="13" x14ac:dyDescent="0.3">
      <c r="B131" s="2"/>
      <c r="C131" s="24" t="s">
        <v>33</v>
      </c>
      <c r="D131" s="22" t="s">
        <v>46</v>
      </c>
      <c r="E131" s="213">
        <v>0.27163955106549381</v>
      </c>
      <c r="F131" s="85"/>
      <c r="G131" s="3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2:20" ht="13" x14ac:dyDescent="0.3">
      <c r="B132" s="2"/>
      <c r="C132" s="24" t="s">
        <v>35</v>
      </c>
      <c r="D132" s="22" t="s">
        <v>45</v>
      </c>
      <c r="E132" s="213">
        <v>0.17166474630834158</v>
      </c>
      <c r="F132" s="85"/>
      <c r="G132" s="3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2:20" ht="13" x14ac:dyDescent="0.3">
      <c r="B133" s="2"/>
      <c r="C133" s="24" t="s">
        <v>36</v>
      </c>
      <c r="D133" s="22" t="s">
        <v>45</v>
      </c>
      <c r="E133" s="213">
        <v>0</v>
      </c>
      <c r="F133" s="85"/>
      <c r="G133" s="3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2:20" ht="13" x14ac:dyDescent="0.3">
      <c r="B134" s="2"/>
      <c r="C134" s="24" t="s">
        <v>37</v>
      </c>
      <c r="D134" s="3" t="s">
        <v>45</v>
      </c>
      <c r="E134" s="86">
        <v>1.9283673168637039</v>
      </c>
      <c r="F134" s="85"/>
      <c r="G134" s="3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2:20" ht="15" customHeight="1" thickBot="1" x14ac:dyDescent="0.35">
      <c r="B135" s="2"/>
      <c r="C135" s="2"/>
      <c r="D135" s="3"/>
      <c r="E135" s="34"/>
      <c r="F135" s="34"/>
      <c r="G135" s="3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2:20" ht="15" thickTop="1" thickBot="1" x14ac:dyDescent="0.35">
      <c r="B136" s="2"/>
      <c r="C136" s="31" t="s">
        <v>47</v>
      </c>
      <c r="D136" s="3"/>
      <c r="E136" s="34"/>
      <c r="F136" s="34"/>
      <c r="G136" s="3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2:20" thickTop="1" x14ac:dyDescent="0.3">
      <c r="B137" s="2"/>
      <c r="C137" s="24" t="s">
        <v>57</v>
      </c>
      <c r="D137" s="3" t="s">
        <v>41</v>
      </c>
      <c r="E137" s="214">
        <f>E122*E106/E104</f>
        <v>428.39737056538388</v>
      </c>
      <c r="F137" s="34"/>
      <c r="G137" s="3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2:20" ht="8.25" customHeight="1" x14ac:dyDescent="0.3">
      <c r="B138" s="2"/>
      <c r="C138" s="24"/>
      <c r="D138" s="3"/>
      <c r="E138" s="19"/>
      <c r="F138" s="34"/>
      <c r="G138" s="3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2:20" ht="13" x14ac:dyDescent="0.3">
      <c r="B139" s="2"/>
      <c r="C139" s="24" t="s">
        <v>56</v>
      </c>
      <c r="D139" s="3" t="s">
        <v>41</v>
      </c>
      <c r="E139" s="216">
        <f>E109*E124/E$104</f>
        <v>-0.9338149178044598</v>
      </c>
      <c r="F139" s="215"/>
      <c r="G139" s="3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2:20" thickBot="1" x14ac:dyDescent="0.35">
      <c r="B140" s="2"/>
      <c r="C140" s="24"/>
      <c r="D140" s="3"/>
      <c r="E140" s="209"/>
      <c r="F140" s="34"/>
      <c r="G140" s="3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2:20" thickTop="1" x14ac:dyDescent="0.3">
      <c r="B141" s="2"/>
      <c r="C141" s="24" t="s">
        <v>24</v>
      </c>
      <c r="D141" s="3" t="s">
        <v>41</v>
      </c>
      <c r="E141" s="220">
        <f>E126*E111/1000</f>
        <v>1.691789784533443E-3</v>
      </c>
      <c r="F141" s="34"/>
      <c r="G141" s="3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2:20" ht="13" x14ac:dyDescent="0.3">
      <c r="B142" s="2"/>
      <c r="C142" s="24" t="s">
        <v>26</v>
      </c>
      <c r="D142" s="3" t="s">
        <v>41</v>
      </c>
      <c r="E142" s="217">
        <f>E127*E112/1000</f>
        <v>1.8630276741848042</v>
      </c>
      <c r="F142" s="34"/>
      <c r="G142" s="3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2:20" ht="14.5" thickBot="1" x14ac:dyDescent="0.35">
      <c r="B143" s="2"/>
      <c r="C143" s="55"/>
      <c r="D143" s="3"/>
      <c r="E143" s="34"/>
      <c r="F143" s="34"/>
      <c r="G143" s="3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2:20" thickTop="1" x14ac:dyDescent="0.3">
      <c r="B144" s="2"/>
      <c r="C144" s="24" t="s">
        <v>29</v>
      </c>
      <c r="D144" s="22" t="s">
        <v>44</v>
      </c>
      <c r="E144" s="58">
        <f t="shared" ref="E144:E149" si="1">E129*E114</f>
        <v>0.37687158696140488</v>
      </c>
      <c r="F144" s="34"/>
      <c r="G144" s="3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2:20" ht="13" x14ac:dyDescent="0.3">
      <c r="B145" s="2"/>
      <c r="C145" s="24" t="s">
        <v>31</v>
      </c>
      <c r="D145" s="22" t="s">
        <v>45</v>
      </c>
      <c r="E145" s="37">
        <f t="shared" si="1"/>
        <v>1.6809852313182392</v>
      </c>
      <c r="F145" s="34"/>
      <c r="G145" s="3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2:20" ht="13" x14ac:dyDescent="0.3">
      <c r="B146" s="2"/>
      <c r="C146" s="24" t="s">
        <v>33</v>
      </c>
      <c r="D146" s="22" t="s">
        <v>46</v>
      </c>
      <c r="E146" s="37">
        <f t="shared" si="1"/>
        <v>0.13538142883906679</v>
      </c>
      <c r="F146" s="34"/>
      <c r="G146" s="3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2:20" ht="13" x14ac:dyDescent="0.3">
      <c r="B147" s="2"/>
      <c r="C147" s="24" t="s">
        <v>35</v>
      </c>
      <c r="D147" s="22" t="s">
        <v>45</v>
      </c>
      <c r="E147" s="37">
        <f t="shared" si="1"/>
        <v>0.59761674315307411</v>
      </c>
      <c r="F147" s="34"/>
      <c r="G147" s="3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2:20" ht="13" x14ac:dyDescent="0.3">
      <c r="B148" s="2"/>
      <c r="C148" s="24" t="s">
        <v>36</v>
      </c>
      <c r="D148" s="22" t="s">
        <v>45</v>
      </c>
      <c r="E148" s="37">
        <f t="shared" si="1"/>
        <v>0</v>
      </c>
      <c r="F148" s="34"/>
      <c r="G148" s="3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2:20" ht="13" x14ac:dyDescent="0.3">
      <c r="B149" s="2"/>
      <c r="C149" s="24" t="s">
        <v>37</v>
      </c>
      <c r="D149" s="22" t="s">
        <v>45</v>
      </c>
      <c r="E149" s="61">
        <f t="shared" si="1"/>
        <v>1.3733759434550337E-3</v>
      </c>
      <c r="F149" s="34"/>
      <c r="G149" s="236">
        <f>H94/E104</f>
        <v>132.46854941408915</v>
      </c>
      <c r="H149" s="62">
        <f>G149+SUM(E141:E149)</f>
        <v>137.12549724427373</v>
      </c>
      <c r="I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2:20" ht="13" x14ac:dyDescent="0.3">
      <c r="B150" s="2"/>
      <c r="C150" s="75" t="s">
        <v>58</v>
      </c>
      <c r="D150" s="76" t="s">
        <v>41</v>
      </c>
      <c r="E150" s="218">
        <f>((1/E105)-1)*E122</f>
        <v>5.4406466061803087</v>
      </c>
      <c r="F150" s="218"/>
      <c r="G150" s="3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2:20" thickBot="1" x14ac:dyDescent="0.35">
      <c r="B151" s="2"/>
      <c r="C151" s="78" t="s">
        <v>59</v>
      </c>
      <c r="D151" s="79" t="s">
        <v>41</v>
      </c>
      <c r="E151" s="219">
        <f>SUM(E139:E150)</f>
        <v>9.1637795185604265</v>
      </c>
      <c r="F151" s="219"/>
      <c r="G151" s="3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2:20" ht="14.5" thickTop="1" x14ac:dyDescent="0.3">
      <c r="B152" s="2"/>
      <c r="C152" s="9" t="s">
        <v>91</v>
      </c>
      <c r="D152" s="3" t="s">
        <v>41</v>
      </c>
      <c r="E152" s="82">
        <f>SUM(E137:E139)+SUM(E141:E142)+SUM(E144:E149)</f>
        <v>432.12050347776398</v>
      </c>
      <c r="F152" s="62"/>
      <c r="G152" s="3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2:20" thickBot="1" x14ac:dyDescent="0.35">
      <c r="B153" s="2"/>
      <c r="C153" s="2"/>
      <c r="D153" s="22"/>
      <c r="E153" s="83"/>
      <c r="F153" s="2"/>
      <c r="G153" s="3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2:20" thickBot="1" x14ac:dyDescent="0.35">
      <c r="B154" s="2"/>
      <c r="C154" s="7" t="s">
        <v>283</v>
      </c>
      <c r="D154" s="3"/>
      <c r="E154" s="2"/>
      <c r="F154" s="2"/>
      <c r="G154" s="3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2:20" ht="14" thickTop="1" thickBot="1" x14ac:dyDescent="0.35">
      <c r="B155" s="2"/>
      <c r="C155" s="2"/>
      <c r="D155" s="3"/>
      <c r="E155" s="2"/>
      <c r="F155" s="2"/>
      <c r="G155" s="3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2:20" ht="14.5" thickTop="1" x14ac:dyDescent="0.3">
      <c r="B156" s="2"/>
      <c r="C156" s="21" t="s">
        <v>92</v>
      </c>
      <c r="D156" s="22" t="s">
        <v>14</v>
      </c>
      <c r="E156" s="23">
        <f>E10</f>
        <v>85000</v>
      </c>
      <c r="F156" s="13"/>
      <c r="G156" s="3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2:20" ht="13" x14ac:dyDescent="0.3">
      <c r="B157" s="2"/>
      <c r="C157" s="24" t="s">
        <v>15</v>
      </c>
      <c r="D157" s="22" t="s">
        <v>5</v>
      </c>
      <c r="E157" s="25">
        <f>+Flat!E19%</f>
        <v>0.97680000000000011</v>
      </c>
      <c r="F157" s="26"/>
      <c r="G157" s="3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2:20" ht="13" x14ac:dyDescent="0.3">
      <c r="B158" s="2"/>
      <c r="C158" s="24" t="s">
        <v>276</v>
      </c>
      <c r="D158" s="16">
        <v>1</v>
      </c>
      <c r="E158" s="43">
        <f>E156/E157*D158</f>
        <v>87018.837018837003</v>
      </c>
      <c r="F158" s="83"/>
      <c r="G158" s="34"/>
      <c r="H158" s="1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2:20" ht="13" x14ac:dyDescent="0.3">
      <c r="B159" s="2"/>
      <c r="C159" s="24" t="s">
        <v>136</v>
      </c>
      <c r="D159" s="16">
        <v>0</v>
      </c>
      <c r="E159" s="43">
        <f>E156/E157*D159</f>
        <v>0</v>
      </c>
      <c r="F159" s="83"/>
      <c r="G159" s="34"/>
      <c r="H159" s="1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2:20" ht="13" x14ac:dyDescent="0.3">
      <c r="B160" s="2"/>
      <c r="C160" s="29" t="s">
        <v>62</v>
      </c>
      <c r="D160" s="16">
        <v>0</v>
      </c>
      <c r="E160" s="43">
        <f>E156/E157*D160</f>
        <v>0</v>
      </c>
      <c r="F160" s="22"/>
      <c r="G160" s="34"/>
      <c r="H160" s="1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2:20" ht="13.5" customHeight="1" thickBot="1" x14ac:dyDescent="0.35">
      <c r="B161" s="2"/>
      <c r="C161" s="2"/>
      <c r="D161" s="3"/>
      <c r="E161" s="34"/>
      <c r="F161" s="2"/>
      <c r="G161" s="3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2:20" ht="15" thickTop="1" thickBot="1" x14ac:dyDescent="0.35">
      <c r="B162" s="2"/>
      <c r="C162" s="31" t="s">
        <v>17</v>
      </c>
      <c r="D162" s="3"/>
      <c r="E162" s="2"/>
      <c r="F162" s="2"/>
      <c r="G162" s="3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2:20" ht="15" customHeight="1" thickTop="1" x14ac:dyDescent="0.3">
      <c r="B163" s="2"/>
      <c r="C163" s="24" t="s">
        <v>55</v>
      </c>
      <c r="D163" s="87">
        <v>-4.2967182485459401E-2</v>
      </c>
      <c r="E163" s="33">
        <f>D163*E158</f>
        <v>-3738.9542498608193</v>
      </c>
      <c r="F163" s="2"/>
      <c r="G163" s="3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2:20" thickBot="1" x14ac:dyDescent="0.35">
      <c r="B164" s="2"/>
      <c r="C164" s="24"/>
      <c r="D164" s="3"/>
      <c r="F164" s="2"/>
      <c r="G164" s="3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2:20" thickTop="1" x14ac:dyDescent="0.3">
      <c r="B165" s="2"/>
      <c r="C165" s="24" t="s">
        <v>26</v>
      </c>
      <c r="D165" s="22" t="s">
        <v>25</v>
      </c>
      <c r="E165" s="88">
        <v>0.71842457772211932</v>
      </c>
      <c r="F165" s="26"/>
      <c r="G165" s="3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2:20" thickBot="1" x14ac:dyDescent="0.35">
      <c r="B166" s="2"/>
      <c r="C166" s="24"/>
      <c r="D166" s="3"/>
      <c r="E166" s="46"/>
      <c r="F166" s="15"/>
      <c r="G166" s="3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2:20" thickTop="1" x14ac:dyDescent="0.3">
      <c r="B167" s="2"/>
      <c r="C167" s="24" t="s">
        <v>29</v>
      </c>
      <c r="D167" s="3" t="s">
        <v>30</v>
      </c>
      <c r="E167" s="47">
        <v>99.812222498274608</v>
      </c>
      <c r="F167" s="15"/>
      <c r="G167" s="3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2:20" ht="13" x14ac:dyDescent="0.3">
      <c r="B168" s="2"/>
      <c r="C168" s="24" t="s">
        <v>31</v>
      </c>
      <c r="D168" s="3" t="s">
        <v>32</v>
      </c>
      <c r="E168" s="43">
        <v>31.718429055837788</v>
      </c>
      <c r="F168" s="15"/>
      <c r="G168" s="3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2:20" ht="13" x14ac:dyDescent="0.3">
      <c r="B169" s="2"/>
      <c r="C169" s="24" t="s">
        <v>33</v>
      </c>
      <c r="D169" s="3" t="s">
        <v>34</v>
      </c>
      <c r="E169" s="45">
        <v>0.45277120002152066</v>
      </c>
      <c r="F169" s="15"/>
      <c r="G169" s="3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2:20" thickBot="1" x14ac:dyDescent="0.35">
      <c r="B170" s="2"/>
      <c r="C170" s="24"/>
      <c r="D170" s="3"/>
      <c r="E170" s="89"/>
      <c r="F170" s="15"/>
      <c r="G170" s="3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2:20" thickTop="1" x14ac:dyDescent="0.3">
      <c r="B171" s="2"/>
      <c r="C171" s="29" t="s">
        <v>67</v>
      </c>
      <c r="D171" s="3" t="s">
        <v>63</v>
      </c>
      <c r="E171" s="91">
        <v>1</v>
      </c>
      <c r="F171" s="15"/>
      <c r="G171" s="3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2:20" ht="24" customHeight="1" thickBot="1" x14ac:dyDescent="0.35">
      <c r="B172" s="2"/>
      <c r="C172" s="2"/>
      <c r="D172" s="3"/>
      <c r="E172" s="2"/>
      <c r="F172" s="2"/>
      <c r="G172" s="3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2:20" ht="15" thickTop="1" thickBot="1" x14ac:dyDescent="0.35">
      <c r="B173" s="2"/>
      <c r="C173" s="31" t="s">
        <v>40</v>
      </c>
      <c r="D173" s="3"/>
      <c r="E173" s="2"/>
      <c r="F173" s="2"/>
      <c r="G173" s="3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2:20" thickTop="1" x14ac:dyDescent="0.3">
      <c r="B174" s="2"/>
      <c r="C174" s="24" t="s">
        <v>90</v>
      </c>
      <c r="D174" s="3" t="s">
        <v>41</v>
      </c>
      <c r="E174" s="23">
        <f>+E152</f>
        <v>432.12050347776398</v>
      </c>
      <c r="F174" s="2"/>
      <c r="G174" s="3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2:20" ht="13" x14ac:dyDescent="0.3">
      <c r="B175" s="2"/>
      <c r="C175" s="24" t="s">
        <v>192</v>
      </c>
      <c r="D175" s="3" t="s">
        <v>41</v>
      </c>
      <c r="E175" s="19">
        <v>0</v>
      </c>
      <c r="F175" s="2"/>
      <c r="G175" s="3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2:20" ht="13" x14ac:dyDescent="0.3">
      <c r="B176" s="2"/>
      <c r="C176" s="24" t="s">
        <v>66</v>
      </c>
      <c r="D176" s="3" t="s">
        <v>41</v>
      </c>
      <c r="E176" s="35">
        <v>0</v>
      </c>
      <c r="F176" s="2"/>
      <c r="G176" s="3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2:20" ht="8.25" customHeight="1" x14ac:dyDescent="0.3">
      <c r="B177" s="2"/>
      <c r="C177" s="24"/>
      <c r="D177" s="3"/>
      <c r="E177" s="52"/>
      <c r="F177" s="2"/>
      <c r="G177" s="3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2:20" ht="14.25" customHeight="1" x14ac:dyDescent="0.3">
      <c r="B178" s="2"/>
      <c r="C178" s="24" t="s">
        <v>55</v>
      </c>
      <c r="D178" s="3" t="s">
        <v>41</v>
      </c>
      <c r="E178" s="90">
        <v>350.58053911488503</v>
      </c>
      <c r="F178" s="15"/>
      <c r="G178" s="3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2:20" ht="10.5" customHeight="1" thickBot="1" x14ac:dyDescent="0.35">
      <c r="B179" s="2"/>
      <c r="C179" s="24"/>
      <c r="D179" s="3"/>
      <c r="E179" s="92"/>
      <c r="F179" s="15"/>
      <c r="G179" s="3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2:20" thickTop="1" x14ac:dyDescent="0.3">
      <c r="B180" s="2"/>
      <c r="C180" s="24" t="s">
        <v>26</v>
      </c>
      <c r="D180" s="3" t="s">
        <v>43</v>
      </c>
      <c r="E180" s="94">
        <v>1192.1342716711349</v>
      </c>
      <c r="F180" s="15"/>
      <c r="G180" s="3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2:20" ht="9" customHeight="1" thickBot="1" x14ac:dyDescent="0.35">
      <c r="B181" s="2"/>
      <c r="C181" s="55"/>
      <c r="D181" s="3"/>
      <c r="E181" s="15"/>
      <c r="F181" s="15"/>
      <c r="G181" s="3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2:20" thickTop="1" x14ac:dyDescent="0.3">
      <c r="B182" s="2"/>
      <c r="C182" s="24" t="s">
        <v>29</v>
      </c>
      <c r="D182" s="22" t="s">
        <v>44</v>
      </c>
      <c r="E182" s="57">
        <f>+E129</f>
        <v>7.0000000000000007E-2</v>
      </c>
      <c r="F182" s="15"/>
      <c r="G182" s="3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2:20" ht="13" x14ac:dyDescent="0.3">
      <c r="B183" s="2"/>
      <c r="C183" s="24" t="s">
        <v>31</v>
      </c>
      <c r="D183" s="22" t="s">
        <v>45</v>
      </c>
      <c r="E183" s="51">
        <f>+E130</f>
        <v>0.25072464212651396</v>
      </c>
      <c r="F183" s="15"/>
      <c r="G183" s="3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2:20" ht="13" x14ac:dyDescent="0.3">
      <c r="B184" s="2"/>
      <c r="C184" s="24" t="s">
        <v>33</v>
      </c>
      <c r="D184" s="22" t="s">
        <v>46</v>
      </c>
      <c r="E184" s="53">
        <f>+E131</f>
        <v>0.27163955106549381</v>
      </c>
      <c r="F184" s="15"/>
      <c r="G184" s="3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2:20" thickBot="1" x14ac:dyDescent="0.35">
      <c r="B185" s="2"/>
      <c r="C185" s="24"/>
      <c r="D185" s="3"/>
      <c r="E185" s="89"/>
      <c r="F185" s="15"/>
      <c r="G185" s="3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2:20" thickTop="1" x14ac:dyDescent="0.3">
      <c r="B186" s="2"/>
      <c r="C186" s="29" t="s">
        <v>67</v>
      </c>
      <c r="D186" s="3" t="s">
        <v>41</v>
      </c>
      <c r="E186" s="45">
        <v>0</v>
      </c>
      <c r="F186" s="15"/>
      <c r="G186" s="3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2:20" ht="13.5" customHeight="1" thickBot="1" x14ac:dyDescent="0.35">
      <c r="B187" s="2"/>
      <c r="C187" s="2"/>
      <c r="D187" s="3"/>
      <c r="E187" s="2"/>
      <c r="F187" s="2"/>
      <c r="G187" s="3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2:20" ht="15" thickTop="1" thickBot="1" x14ac:dyDescent="0.35">
      <c r="B188" s="2"/>
      <c r="C188" s="31" t="s">
        <v>47</v>
      </c>
      <c r="D188" s="3"/>
      <c r="E188" s="2"/>
      <c r="F188" s="2"/>
      <c r="G188" s="3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2:20" thickTop="1" x14ac:dyDescent="0.3">
      <c r="B189" s="2"/>
      <c r="C189" s="24" t="s">
        <v>53</v>
      </c>
      <c r="D189" s="3" t="s">
        <v>41</v>
      </c>
      <c r="E189" s="95">
        <f>E174*E158/E156</f>
        <v>442.38380781916862</v>
      </c>
      <c r="F189" s="2"/>
      <c r="G189" s="3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2:20" ht="13" x14ac:dyDescent="0.3">
      <c r="B190" s="2"/>
      <c r="C190" s="24" t="s">
        <v>192</v>
      </c>
      <c r="D190" s="3" t="s">
        <v>41</v>
      </c>
      <c r="E190" s="96">
        <f>E175*E159/E156</f>
        <v>0</v>
      </c>
      <c r="F190" s="2"/>
      <c r="G190" s="3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2:20" ht="13" x14ac:dyDescent="0.3">
      <c r="B191" s="2"/>
      <c r="C191" s="24" t="s">
        <v>62</v>
      </c>
      <c r="D191" s="3" t="s">
        <v>41</v>
      </c>
      <c r="E191" s="96">
        <f>E160*E176/E156</f>
        <v>0</v>
      </c>
      <c r="F191" s="2"/>
      <c r="G191" s="3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2:20" ht="8.25" customHeight="1" x14ac:dyDescent="0.3">
      <c r="B192" s="2"/>
      <c r="C192" s="24"/>
      <c r="D192" s="3"/>
      <c r="E192" s="96"/>
      <c r="F192" s="2"/>
      <c r="G192" s="3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2:20" ht="12.75" customHeight="1" x14ac:dyDescent="0.3">
      <c r="B193" s="2"/>
      <c r="C193" s="24" t="s">
        <v>55</v>
      </c>
      <c r="D193" s="3" t="s">
        <v>41</v>
      </c>
      <c r="E193" s="96">
        <f>E163*E178/E$156</f>
        <v>-15.421230548730547</v>
      </c>
      <c r="F193" s="2"/>
      <c r="G193" s="3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2:20" thickBot="1" x14ac:dyDescent="0.35">
      <c r="B194" s="2"/>
      <c r="C194" s="24"/>
      <c r="D194" s="3"/>
      <c r="E194" s="54"/>
      <c r="F194" s="2"/>
      <c r="G194" s="3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2:20" thickTop="1" x14ac:dyDescent="0.3">
      <c r="B195" s="2"/>
      <c r="C195" s="24" t="s">
        <v>26</v>
      </c>
      <c r="D195" s="3" t="s">
        <v>41</v>
      </c>
      <c r="E195" s="98">
        <f>E180*E165/1000</f>
        <v>0.85645856071340132</v>
      </c>
      <c r="F195" s="2"/>
      <c r="G195" s="3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2:20" ht="14.5" thickBot="1" x14ac:dyDescent="0.35">
      <c r="B196" s="2"/>
      <c r="C196" s="55"/>
      <c r="D196" s="3"/>
      <c r="E196" s="62"/>
      <c r="F196" s="2"/>
      <c r="G196" s="3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2:20" thickTop="1" x14ac:dyDescent="0.3">
      <c r="B197" s="2"/>
      <c r="C197" s="24" t="s">
        <v>29</v>
      </c>
      <c r="D197" s="22" t="s">
        <v>44</v>
      </c>
      <c r="E197" s="95">
        <f>E182*E167</f>
        <v>6.9868555748792236</v>
      </c>
      <c r="F197" s="2"/>
      <c r="G197" s="3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2:20" ht="13" x14ac:dyDescent="0.3">
      <c r="B198" s="2"/>
      <c r="C198" s="24" t="s">
        <v>31</v>
      </c>
      <c r="D198" s="22" t="s">
        <v>45</v>
      </c>
      <c r="E198" s="96">
        <f>E183*E168</f>
        <v>7.9525917738401519</v>
      </c>
      <c r="F198" s="2"/>
      <c r="G198" s="3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2:20" ht="13" x14ac:dyDescent="0.3">
      <c r="B199" s="2"/>
      <c r="C199" s="24" t="s">
        <v>33</v>
      </c>
      <c r="D199" s="22" t="s">
        <v>46</v>
      </c>
      <c r="E199" s="97">
        <f>E184*E169</f>
        <v>0.12299056550923078</v>
      </c>
      <c r="F199" s="2"/>
      <c r="G199" s="3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2:20" thickBot="1" x14ac:dyDescent="0.35">
      <c r="B200" s="2"/>
      <c r="C200" s="24"/>
      <c r="D200" s="3"/>
      <c r="E200" s="99"/>
      <c r="F200" s="2"/>
      <c r="G200" s="3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2:20" thickTop="1" x14ac:dyDescent="0.3">
      <c r="B201" s="2"/>
      <c r="C201" s="29" t="s">
        <v>67</v>
      </c>
      <c r="D201" s="3" t="s">
        <v>41</v>
      </c>
      <c r="E201" s="249">
        <f>E186*E171</f>
        <v>0</v>
      </c>
      <c r="F201" s="2"/>
      <c r="G201" s="3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2:20" ht="13" x14ac:dyDescent="0.3">
      <c r="B202" s="2"/>
      <c r="C202" s="100" t="s">
        <v>68</v>
      </c>
      <c r="D202" s="76" t="s">
        <v>41</v>
      </c>
      <c r="E202" s="101">
        <f>((1/E157)-1)*$D$158*E174</f>
        <v>10.263304341404679</v>
      </c>
      <c r="F202" s="101"/>
      <c r="G202" s="3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2:20" ht="13" x14ac:dyDescent="0.3">
      <c r="B203" s="2"/>
      <c r="C203" s="100" t="s">
        <v>69</v>
      </c>
      <c r="D203" s="76" t="s">
        <v>41</v>
      </c>
      <c r="E203" s="101">
        <f>((1/E157)-1)*$D$160*E176</f>
        <v>0</v>
      </c>
      <c r="F203" s="101"/>
      <c r="G203" s="3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2:20" thickBot="1" x14ac:dyDescent="0.35">
      <c r="B204" s="2"/>
      <c r="C204" s="78" t="s">
        <v>70</v>
      </c>
      <c r="D204" s="79" t="s">
        <v>41</v>
      </c>
      <c r="E204" s="102">
        <f>SUM(E193:E203)</f>
        <v>10.760970267616139</v>
      </c>
      <c r="F204" s="102"/>
      <c r="G204" s="3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2:20" ht="14.5" thickTop="1" x14ac:dyDescent="0.3">
      <c r="B205" s="2"/>
      <c r="C205" s="21" t="s">
        <v>71</v>
      </c>
      <c r="D205" s="22" t="s">
        <v>41</v>
      </c>
      <c r="E205" s="64">
        <f>SUM(E189:E193)+SUM(E195:E195)+SUM(E197:E199)+SUM(E201:E201)</f>
        <v>442.88147374538011</v>
      </c>
      <c r="F205" s="103"/>
      <c r="G205" s="34"/>
      <c r="H205" s="7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2:20" ht="13" x14ac:dyDescent="0.3">
      <c r="B206" s="2"/>
      <c r="C206" s="29" t="s">
        <v>72</v>
      </c>
      <c r="D206" s="22" t="s">
        <v>73</v>
      </c>
      <c r="E206" s="30">
        <f>E205*E156</f>
        <v>37644925.268357307</v>
      </c>
      <c r="F206" s="22"/>
      <c r="G206" s="3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2:20" thickBot="1" x14ac:dyDescent="0.35">
      <c r="B207" s="2"/>
      <c r="C207" s="2"/>
      <c r="D207" s="22"/>
      <c r="E207" s="2"/>
      <c r="F207" s="2"/>
      <c r="G207" s="3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2:20" thickTop="1" x14ac:dyDescent="0.3">
      <c r="B208" s="2"/>
      <c r="C208" s="104" t="s">
        <v>74</v>
      </c>
      <c r="D208" s="22" t="s">
        <v>73</v>
      </c>
      <c r="E208" s="41">
        <f>1191367.0736*1.5</f>
        <v>1787050.6104000001</v>
      </c>
      <c r="F208" s="26"/>
      <c r="G208" s="3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2:20" ht="13" x14ac:dyDescent="0.3">
      <c r="B209" s="2"/>
      <c r="C209" s="24" t="s">
        <v>75</v>
      </c>
      <c r="D209" s="22" t="s">
        <v>73</v>
      </c>
      <c r="E209" s="44">
        <f>1292070.34081167*1.5</f>
        <v>1938105.5112175052</v>
      </c>
      <c r="F209" s="26"/>
      <c r="G209" s="3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2:20" ht="13" x14ac:dyDescent="0.3">
      <c r="B210" s="2"/>
      <c r="C210" s="24" t="s">
        <v>208</v>
      </c>
      <c r="D210" s="22" t="s">
        <v>73</v>
      </c>
      <c r="E210" s="44">
        <f>11*E10*E12</f>
        <v>0</v>
      </c>
      <c r="F210" s="26"/>
      <c r="G210" s="3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2:20" ht="13" x14ac:dyDescent="0.3">
      <c r="B211" s="2"/>
      <c r="C211" s="24" t="s">
        <v>76</v>
      </c>
      <c r="D211" s="22" t="s">
        <v>73</v>
      </c>
      <c r="E211" s="44">
        <f>1418835.245*1.5</f>
        <v>2128252.8675000002</v>
      </c>
      <c r="F211" s="26"/>
      <c r="G211" s="3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2:20" ht="13" x14ac:dyDescent="0.3">
      <c r="B212" s="2"/>
      <c r="C212" s="24" t="s">
        <v>77</v>
      </c>
      <c r="D212" s="22" t="s">
        <v>41</v>
      </c>
      <c r="E212" s="52">
        <f>E208/E156</f>
        <v>21.024124828235294</v>
      </c>
      <c r="F212" s="22"/>
      <c r="G212" s="3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2:20" ht="13" x14ac:dyDescent="0.3">
      <c r="B213" s="2"/>
      <c r="C213" s="24" t="s">
        <v>78</v>
      </c>
      <c r="D213" s="22" t="s">
        <v>41</v>
      </c>
      <c r="E213" s="52">
        <f>E209/E156</f>
        <v>22.801241308441238</v>
      </c>
      <c r="F213" s="22"/>
      <c r="G213" s="3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2:20" ht="13" x14ac:dyDescent="0.3">
      <c r="B214" s="2"/>
      <c r="C214" s="24" t="s">
        <v>208</v>
      </c>
      <c r="D214" s="22" t="s">
        <v>73</v>
      </c>
      <c r="E214" s="52">
        <f>E210/E156</f>
        <v>0</v>
      </c>
      <c r="F214" s="22"/>
      <c r="G214" s="3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2:20" ht="13" x14ac:dyDescent="0.3">
      <c r="B215" s="2"/>
      <c r="C215" s="29" t="s">
        <v>79</v>
      </c>
      <c r="D215" s="22" t="s">
        <v>41</v>
      </c>
      <c r="E215" s="30">
        <f>E211/E156</f>
        <v>25.038269029411765</v>
      </c>
      <c r="F215" s="22"/>
      <c r="G215" s="3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2:20" thickBot="1" x14ac:dyDescent="0.35">
      <c r="B216" s="2"/>
      <c r="C216" s="2"/>
      <c r="D216" s="22"/>
      <c r="E216" s="83"/>
      <c r="F216" s="22"/>
      <c r="G216" s="3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2:20" ht="14.5" thickTop="1" x14ac:dyDescent="0.3">
      <c r="B217" s="2"/>
      <c r="C217" s="21" t="s">
        <v>80</v>
      </c>
      <c r="D217" s="22" t="s">
        <v>41</v>
      </c>
      <c r="E217" s="23">
        <f>SUM(E212:E215)</f>
        <v>68.863635166088301</v>
      </c>
      <c r="F217" s="22"/>
      <c r="G217" s="3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2:20" ht="13" x14ac:dyDescent="0.3">
      <c r="B218" s="2"/>
      <c r="C218" s="29" t="s">
        <v>81</v>
      </c>
      <c r="D218" s="22" t="s">
        <v>73</v>
      </c>
      <c r="E218" s="30">
        <f>E217*E156</f>
        <v>5853408.989117506</v>
      </c>
      <c r="F218" s="22"/>
      <c r="G218" s="3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2:20" thickBot="1" x14ac:dyDescent="0.35">
      <c r="B219" s="2"/>
      <c r="C219" s="2"/>
      <c r="D219" s="22"/>
      <c r="E219" s="13"/>
      <c r="F219" s="22"/>
      <c r="G219" s="3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2:20" ht="14.5" thickTop="1" x14ac:dyDescent="0.3">
      <c r="B220" s="2"/>
      <c r="C220" s="21" t="s">
        <v>82</v>
      </c>
      <c r="D220" s="22" t="s">
        <v>41</v>
      </c>
      <c r="E220" s="58">
        <f>E217+E205</f>
        <v>511.74510891146838</v>
      </c>
      <c r="F220" s="22"/>
      <c r="G220" s="3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2:20" ht="13" x14ac:dyDescent="0.3">
      <c r="B221" s="2"/>
      <c r="C221" s="29" t="s">
        <v>83</v>
      </c>
      <c r="D221" s="22" t="s">
        <v>73</v>
      </c>
      <c r="E221" s="30">
        <f>E220*E10</f>
        <v>43498334.25747481</v>
      </c>
      <c r="F221" s="22"/>
      <c r="G221" s="3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2:20" thickBot="1" x14ac:dyDescent="0.35">
      <c r="B222" s="2"/>
      <c r="C222" s="2"/>
      <c r="D222" s="22"/>
      <c r="E222" s="13"/>
      <c r="F222" s="22"/>
      <c r="G222" s="3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2:20" thickTop="1" x14ac:dyDescent="0.3">
      <c r="B223" s="2"/>
      <c r="C223" s="104" t="s">
        <v>84</v>
      </c>
      <c r="D223" s="22" t="s">
        <v>5</v>
      </c>
      <c r="E223" s="105">
        <f>E221/'[1]Production Q. &amp; Sales (2)'!D17</f>
        <v>0.21678421798257905</v>
      </c>
      <c r="F223" s="22"/>
      <c r="G223" s="3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2:20" ht="13" x14ac:dyDescent="0.3">
      <c r="B224" s="2"/>
      <c r="C224" s="24" t="s">
        <v>85</v>
      </c>
      <c r="D224" s="22" t="s">
        <v>41</v>
      </c>
      <c r="E224" s="83">
        <f>E220</f>
        <v>511.74510891146838</v>
      </c>
      <c r="F224" s="22"/>
      <c r="G224" s="3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2:20" ht="13" x14ac:dyDescent="0.3">
      <c r="B225" s="2"/>
      <c r="C225" s="24" t="s">
        <v>86</v>
      </c>
      <c r="D225" s="22" t="s">
        <v>41</v>
      </c>
      <c r="E225" s="83">
        <f>+'[1]Production Q. &amp; Sales (2)'!D41/'[1]Production Q. &amp; Sales (2)'!D30</f>
        <v>677.69333333333338</v>
      </c>
      <c r="F225" s="22"/>
      <c r="G225" s="3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2:20" ht="13" x14ac:dyDescent="0.3">
      <c r="B226" s="2"/>
      <c r="C226" s="29" t="s">
        <v>87</v>
      </c>
      <c r="D226" s="22" t="s">
        <v>41</v>
      </c>
      <c r="E226" s="107">
        <f>E225-E224</f>
        <v>165.94822442186501</v>
      </c>
      <c r="F226" s="22"/>
      <c r="G226" s="3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2:20" ht="13" x14ac:dyDescent="0.3">
      <c r="B227" s="2"/>
      <c r="C227" s="2"/>
      <c r="D227" s="3"/>
      <c r="E227" s="2"/>
      <c r="F227" s="2"/>
      <c r="G227" s="3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2:20" ht="13" x14ac:dyDescent="0.3">
      <c r="B228" s="2"/>
      <c r="C228" s="2"/>
      <c r="D228" s="3"/>
      <c r="E228" s="2"/>
      <c r="F228" s="2"/>
      <c r="G228" s="3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2:20" ht="14" thickBot="1" x14ac:dyDescent="0.4">
      <c r="G229" s="34"/>
    </row>
    <row r="230" spans="2:20" ht="15" thickTop="1" x14ac:dyDescent="0.35">
      <c r="C230" s="31" t="s">
        <v>47</v>
      </c>
      <c r="G230" s="34"/>
      <c r="J230" s="4" t="s">
        <v>223</v>
      </c>
    </row>
    <row r="231" spans="2:20" x14ac:dyDescent="0.35">
      <c r="C231" s="24" t="s">
        <v>18</v>
      </c>
      <c r="E231" s="209">
        <f>+E73*$E$19</f>
        <v>854832.90168594976</v>
      </c>
      <c r="G231" s="73">
        <f>1/(+$E$20*$E$105*$E$157)*E49*$E$156*D24</f>
        <v>854832.90168595</v>
      </c>
      <c r="H231" s="73">
        <f>(1/(+$E$20*$E$105*$E$157)-1)*E49*D24</f>
        <v>1.7915576668935287</v>
      </c>
    </row>
    <row r="232" spans="2:20" x14ac:dyDescent="0.35">
      <c r="C232" s="24" t="s">
        <v>19</v>
      </c>
      <c r="E232" s="209">
        <f>+E74*$E$19</f>
        <v>4375150.3364613689</v>
      </c>
      <c r="G232" s="73">
        <f>1/(+$E$20*$E$105*$E$157)*E50*$E$156*D25</f>
        <v>4375150.3364613699</v>
      </c>
      <c r="H232" s="73">
        <f>(1/(+$E$20*$E$105*$E$157)-1)*E50*D25</f>
        <v>9.1694342995455163</v>
      </c>
    </row>
    <row r="233" spans="2:20" x14ac:dyDescent="0.35">
      <c r="C233" s="24" t="s">
        <v>20</v>
      </c>
      <c r="E233" s="209">
        <f>+E75*$E$19</f>
        <v>21712591.165152263</v>
      </c>
      <c r="G233" s="73">
        <f>1/(+$E$20*$E$105*$E$157)*E51*$E$156*D26</f>
        <v>21712591.165152267</v>
      </c>
      <c r="H233" s="73">
        <f>(1/(+$E$20*$E$105*$E$157)-1)*E51*D26</f>
        <v>45.505219901262251</v>
      </c>
      <c r="J233" s="238">
        <f>SUM(H231:H233)</f>
        <v>56.466211867701297</v>
      </c>
    </row>
    <row r="234" spans="2:20" x14ac:dyDescent="0.35">
      <c r="C234" s="24" t="s">
        <v>21</v>
      </c>
      <c r="E234" s="209">
        <f>+E76*$E$19</f>
        <v>0</v>
      </c>
      <c r="G234" s="34"/>
    </row>
    <row r="235" spans="2:20" x14ac:dyDescent="0.35">
      <c r="C235" s="24" t="s">
        <v>22</v>
      </c>
      <c r="E235" s="209">
        <f>+E77*$E$19</f>
        <v>0</v>
      </c>
      <c r="G235" s="34"/>
    </row>
    <row r="236" spans="2:20" x14ac:dyDescent="0.35">
      <c r="C236" s="24"/>
      <c r="E236" s="209"/>
      <c r="G236" s="34"/>
    </row>
    <row r="237" spans="2:20" x14ac:dyDescent="0.35">
      <c r="C237" s="24" t="s">
        <v>42</v>
      </c>
      <c r="E237" s="209">
        <f>+E79*$E$19</f>
        <v>-1191192.5463585081</v>
      </c>
      <c r="G237" s="233">
        <f>+E237/$E$156</f>
        <v>-14.014029957158918</v>
      </c>
      <c r="J237" s="63">
        <f>(E237/E156)+E238/E156+E239/E156</f>
        <v>-30.391254483985758</v>
      </c>
    </row>
    <row r="238" spans="2:20" x14ac:dyDescent="0.35">
      <c r="C238" s="24" t="s">
        <v>255</v>
      </c>
      <c r="E238" s="209">
        <f>+E139*E104</f>
        <v>-81259.488138184955</v>
      </c>
      <c r="G238" s="233">
        <f>+E238/$E$156</f>
        <v>-0.95599397809629361</v>
      </c>
      <c r="J238" s="63"/>
    </row>
    <row r="239" spans="2:20" x14ac:dyDescent="0.35">
      <c r="C239" s="24" t="s">
        <v>275</v>
      </c>
      <c r="E239" s="209">
        <f>+E193*E156</f>
        <v>-1310804.5966420965</v>
      </c>
      <c r="G239" s="233">
        <f>+E239/$E$156</f>
        <v>-15.421230548730547</v>
      </c>
      <c r="J239" s="63"/>
    </row>
    <row r="240" spans="2:20" x14ac:dyDescent="0.35">
      <c r="C240" s="24"/>
      <c r="E240" s="209"/>
      <c r="G240" s="34"/>
      <c r="I240" s="4" t="s">
        <v>229</v>
      </c>
    </row>
    <row r="241" spans="3:11" x14ac:dyDescent="0.35">
      <c r="C241" s="24" t="s">
        <v>24</v>
      </c>
      <c r="E241" s="209">
        <f>+E81*$E$19</f>
        <v>2471653.0958155855</v>
      </c>
      <c r="G241" s="233">
        <f t="shared" ref="G241:G247" si="2">+E241/$E$156</f>
        <v>29.078271715477477</v>
      </c>
      <c r="H241" s="242">
        <f t="shared" ref="H241:H247" si="3">+G241/$G$268</f>
        <v>0.39547138991024638</v>
      </c>
      <c r="I241" s="241">
        <f t="shared" ref="I241:I247" si="4">H241*$E$271</f>
        <v>3.4880844523342436</v>
      </c>
      <c r="J241" s="241">
        <f>G241-I241</f>
        <v>25.590187263143235</v>
      </c>
      <c r="K241" s="4">
        <v>29.475930981588448</v>
      </c>
    </row>
    <row r="242" spans="3:11" x14ac:dyDescent="0.35">
      <c r="C242" s="24" t="s">
        <v>256</v>
      </c>
      <c r="E242" s="209">
        <f>+E141*$E$104</f>
        <v>147.21757953044903</v>
      </c>
      <c r="G242" s="233">
        <f t="shared" si="2"/>
        <v>1.7319715238876356E-3</v>
      </c>
      <c r="H242" s="242">
        <f t="shared" si="3"/>
        <v>2.3555223382558714E-5</v>
      </c>
      <c r="I242" s="241">
        <f t="shared" si="4"/>
        <v>2.0775866610884338E-4</v>
      </c>
      <c r="J242" s="241">
        <f t="shared" ref="J242:J247" si="5">G242-I242</f>
        <v>1.5242128577787923E-3</v>
      </c>
      <c r="K242" s="4">
        <v>1.721568274733631E-3</v>
      </c>
    </row>
    <row r="243" spans="3:11" x14ac:dyDescent="0.35">
      <c r="C243" s="24" t="s">
        <v>26</v>
      </c>
      <c r="E243" s="209">
        <f>+E82*$E$19</f>
        <v>849029.65250439232</v>
      </c>
      <c r="G243" s="233">
        <f t="shared" si="2"/>
        <v>9.9885841471104975</v>
      </c>
      <c r="H243" s="242">
        <f t="shared" si="3"/>
        <v>0.13584711273575006</v>
      </c>
      <c r="I243" s="241">
        <f t="shared" si="4"/>
        <v>1.198180738019021</v>
      </c>
      <c r="J243" s="241">
        <f t="shared" si="5"/>
        <v>8.7904034090914767</v>
      </c>
      <c r="K243" s="4">
        <v>9.0315444185923308</v>
      </c>
    </row>
    <row r="244" spans="3:11" x14ac:dyDescent="0.35">
      <c r="C244" s="24" t="s">
        <v>257</v>
      </c>
      <c r="E244" s="209">
        <f>+E142*$E$104</f>
        <v>162118.50154147044</v>
      </c>
      <c r="G244" s="233">
        <f t="shared" si="2"/>
        <v>1.9072764887231817</v>
      </c>
      <c r="H244" s="242">
        <f t="shared" si="3"/>
        <v>2.5939412469861967E-2</v>
      </c>
      <c r="I244" s="241">
        <f t="shared" si="4"/>
        <v>0.22878737538850794</v>
      </c>
      <c r="J244" s="241">
        <f t="shared" si="5"/>
        <v>1.6784891133346738</v>
      </c>
      <c r="K244" s="4">
        <v>1.8958202538809223</v>
      </c>
    </row>
    <row r="245" spans="3:11" x14ac:dyDescent="0.35">
      <c r="C245" s="24" t="s">
        <v>280</v>
      </c>
      <c r="E245" s="209">
        <f>+E195*E156</f>
        <v>72798.97766063911</v>
      </c>
      <c r="G245" s="233">
        <f t="shared" si="2"/>
        <v>0.85645856071340132</v>
      </c>
      <c r="H245" s="242">
        <f t="shared" si="3"/>
        <v>1.1648039495606463E-2</v>
      </c>
      <c r="I245" s="241">
        <f t="shared" si="4"/>
        <v>0.10273649751002489</v>
      </c>
      <c r="J245" s="241">
        <f t="shared" si="5"/>
        <v>0.75372206320337642</v>
      </c>
      <c r="K245" s="4">
        <v>0.85131416216279343</v>
      </c>
    </row>
    <row r="246" spans="3:11" x14ac:dyDescent="0.35">
      <c r="C246" s="24" t="s">
        <v>27</v>
      </c>
      <c r="E246" s="209">
        <f>+E83*$E$19</f>
        <v>1464422.733072466</v>
      </c>
      <c r="G246" s="233">
        <f t="shared" si="2"/>
        <v>17.228502742029011</v>
      </c>
      <c r="H246" s="242">
        <f t="shared" si="3"/>
        <v>0.23431172224159905</v>
      </c>
      <c r="I246" s="241">
        <f t="shared" si="4"/>
        <v>2.0666452648725619</v>
      </c>
      <c r="J246" s="241">
        <f t="shared" si="5"/>
        <v>15.161857477156449</v>
      </c>
      <c r="K246" s="4">
        <v>17.125018126893153</v>
      </c>
    </row>
    <row r="247" spans="3:11" x14ac:dyDescent="0.35">
      <c r="C247" s="24" t="s">
        <v>28</v>
      </c>
      <c r="E247" s="209">
        <f>+E84*$E$19</f>
        <v>29127.73266676069</v>
      </c>
      <c r="G247" s="233">
        <f t="shared" si="2"/>
        <v>0.34267920784424344</v>
      </c>
      <c r="H247" s="242">
        <f t="shared" si="3"/>
        <v>4.6605184773540753E-3</v>
      </c>
      <c r="I247" s="241">
        <f t="shared" si="4"/>
        <v>4.1106088722030268E-2</v>
      </c>
      <c r="J247" s="241">
        <f t="shared" si="5"/>
        <v>0.30157311912221318</v>
      </c>
      <c r="K247" s="4">
        <v>0.34062087309108391</v>
      </c>
    </row>
    <row r="248" spans="3:11" ht="14.5" x14ac:dyDescent="0.35">
      <c r="C248" s="55"/>
      <c r="E248" s="209"/>
      <c r="G248" s="240"/>
      <c r="H248" s="243"/>
    </row>
    <row r="249" spans="3:11" x14ac:dyDescent="0.35">
      <c r="C249" s="24" t="s">
        <v>214</v>
      </c>
      <c r="E249" s="209">
        <f>+E86*$E$19</f>
        <v>4276324.0575455697</v>
      </c>
      <c r="G249" s="233">
        <f>+E249/$E$156</f>
        <v>50.309694794653758</v>
      </c>
      <c r="H249" s="245"/>
    </row>
    <row r="250" spans="3:11" x14ac:dyDescent="0.35">
      <c r="C250" s="24" t="s">
        <v>215</v>
      </c>
      <c r="E250" s="209">
        <f>+E87*$E$19</f>
        <v>1478965.6677822045</v>
      </c>
      <c r="G250" s="233">
        <f>+E250/$E$156</f>
        <v>17.399596091555345</v>
      </c>
      <c r="H250" s="245"/>
    </row>
    <row r="251" spans="3:11" x14ac:dyDescent="0.35">
      <c r="C251" s="24" t="s">
        <v>258</v>
      </c>
      <c r="E251" s="209">
        <f>+E144*$E$104</f>
        <v>32794.927202824947</v>
      </c>
      <c r="G251" s="233">
        <f>+E251/$E$156</f>
        <v>0.38582267297441114</v>
      </c>
      <c r="H251" s="242">
        <f t="shared" ref="H251:H262" si="6">+G251/$G$268</f>
        <v>5.247279832620251E-3</v>
      </c>
      <c r="I251" s="241">
        <f t="shared" ref="I251:I264" si="7">H251*$E$271</f>
        <v>4.6281363628766295E-2</v>
      </c>
      <c r="J251" s="241">
        <f t="shared" ref="J251:J262" si="8">G251-I251</f>
        <v>0.33954130934564486</v>
      </c>
      <c r="K251" s="4">
        <v>0.3835051929576454</v>
      </c>
    </row>
    <row r="252" spans="3:11" x14ac:dyDescent="0.35">
      <c r="C252" s="24" t="s">
        <v>277</v>
      </c>
      <c r="E252" s="209">
        <f>+E197*E156</f>
        <v>593882.72386473406</v>
      </c>
      <c r="G252" s="233"/>
      <c r="H252" s="242"/>
      <c r="I252" s="241"/>
      <c r="J252" s="241"/>
    </row>
    <row r="253" spans="3:11" x14ac:dyDescent="0.35">
      <c r="C253" s="24" t="s">
        <v>31</v>
      </c>
      <c r="E253" s="209">
        <f>+E88*$E$19</f>
        <v>322483.38796012395</v>
      </c>
      <c r="G253" s="233">
        <f>+E253/$E$156</f>
        <v>3.7939222112955759</v>
      </c>
      <c r="H253" s="242">
        <f t="shared" si="6"/>
        <v>5.1598241628432351E-2</v>
      </c>
      <c r="I253" s="241">
        <f t="shared" si="7"/>
        <v>0.45509998696180604</v>
      </c>
      <c r="J253" s="241">
        <f t="shared" si="8"/>
        <v>3.3388222243337697</v>
      </c>
      <c r="K253" s="4">
        <v>3.7711336622399734</v>
      </c>
    </row>
    <row r="254" spans="3:11" x14ac:dyDescent="0.35">
      <c r="C254" s="24" t="s">
        <v>259</v>
      </c>
      <c r="E254" s="209">
        <f>+E145*$E$104</f>
        <v>146277.37987515389</v>
      </c>
      <c r="G254" s="233">
        <f>+E254/$E$156</f>
        <v>1.7209103514723987</v>
      </c>
      <c r="H254" s="242">
        <f t="shared" si="6"/>
        <v>2.3404788815061285E-2</v>
      </c>
      <c r="I254" s="241">
        <f t="shared" si="7"/>
        <v>0.20643182303152113</v>
      </c>
      <c r="J254" s="241">
        <f t="shared" si="8"/>
        <v>1.5144785284408775</v>
      </c>
      <c r="K254" s="4">
        <v>1.7105735422863635</v>
      </c>
    </row>
    <row r="255" spans="3:11" x14ac:dyDescent="0.35">
      <c r="C255" s="24" t="s">
        <v>278</v>
      </c>
      <c r="E255" s="209">
        <f>+E198*E156</f>
        <v>675970.30077641294</v>
      </c>
      <c r="G255" s="233"/>
      <c r="H255" s="242"/>
      <c r="I255" s="241"/>
      <c r="J255" s="241"/>
    </row>
    <row r="256" spans="3:11" x14ac:dyDescent="0.35">
      <c r="C256" s="24" t="s">
        <v>33</v>
      </c>
      <c r="E256" s="209">
        <f>+E89*$E$19</f>
        <v>37083.101140116196</v>
      </c>
      <c r="G256" s="233">
        <f>+E256/$E$156</f>
        <v>0.43627177811901408</v>
      </c>
      <c r="H256" s="242">
        <f t="shared" si="6"/>
        <v>5.9333996242805264E-3</v>
      </c>
      <c r="I256" s="241">
        <f t="shared" si="7"/>
        <v>5.2332986676067318E-2</v>
      </c>
      <c r="J256" s="241">
        <f t="shared" si="8"/>
        <v>0.38393879144294674</v>
      </c>
      <c r="K256" s="4">
        <v>0.43365127082773647</v>
      </c>
    </row>
    <row r="257" spans="3:11" x14ac:dyDescent="0.35">
      <c r="C257" s="24" t="s">
        <v>260</v>
      </c>
      <c r="E257" s="209">
        <f>+E146*$E$104</f>
        <v>11780.734491524032</v>
      </c>
      <c r="G257" s="233">
        <f>+E257/$E$156</f>
        <v>0.13859687637087095</v>
      </c>
      <c r="H257" s="242">
        <f t="shared" si="6"/>
        <v>1.8849503805424806E-3</v>
      </c>
      <c r="I257" s="241">
        <f t="shared" si="7"/>
        <v>1.6625390062436456E-2</v>
      </c>
      <c r="J257" s="241">
        <f t="shared" si="8"/>
        <v>0.12197148630843449</v>
      </c>
      <c r="K257" s="4">
        <v>0.1377643812536207</v>
      </c>
    </row>
    <row r="258" spans="3:11" x14ac:dyDescent="0.35">
      <c r="C258" s="24" t="s">
        <v>279</v>
      </c>
      <c r="E258" s="209">
        <f>+E199*E156</f>
        <v>10454.198068284617</v>
      </c>
      <c r="G258" s="233"/>
      <c r="H258" s="242"/>
      <c r="I258" s="241"/>
      <c r="J258" s="241"/>
    </row>
    <row r="259" spans="3:11" x14ac:dyDescent="0.35">
      <c r="C259" s="24" t="s">
        <v>35</v>
      </c>
      <c r="E259" s="209">
        <f>+E90*$E$19</f>
        <v>484576.38984979753</v>
      </c>
      <c r="G259" s="233">
        <f t="shared" ref="G259:G266" si="9">+E259/$E$156</f>
        <v>5.7008987041152652</v>
      </c>
      <c r="H259" s="242">
        <f t="shared" si="6"/>
        <v>7.7533574082876533E-2</v>
      </c>
      <c r="I259" s="241">
        <f t="shared" si="7"/>
        <v>0.6838513763379066</v>
      </c>
      <c r="J259" s="241">
        <f t="shared" si="8"/>
        <v>5.0170473277773588</v>
      </c>
      <c r="K259" s="4">
        <v>5.6666557221708915</v>
      </c>
    </row>
    <row r="260" spans="3:11" x14ac:dyDescent="0.35">
      <c r="C260" s="24" t="s">
        <v>261</v>
      </c>
      <c r="E260" s="209">
        <f>+E147*$E$104</f>
        <v>52003.91397216553</v>
      </c>
      <c r="G260" s="233">
        <f t="shared" si="9"/>
        <v>0.61181075261371209</v>
      </c>
      <c r="H260" s="242">
        <f t="shared" si="6"/>
        <v>8.3207712984329149E-3</v>
      </c>
      <c r="I260" s="241">
        <f t="shared" si="7"/>
        <v>7.3389766587362654E-2</v>
      </c>
      <c r="J260" s="241">
        <f t="shared" si="8"/>
        <v>0.53842098602634947</v>
      </c>
      <c r="K260" s="4">
        <v>0.60813585403324766</v>
      </c>
    </row>
    <row r="261" spans="3:11" x14ac:dyDescent="0.35">
      <c r="C261" s="24" t="s">
        <v>36</v>
      </c>
      <c r="E261" s="209">
        <f>+E91*$E$19</f>
        <v>61829.617114930421</v>
      </c>
      <c r="G261" s="233">
        <f t="shared" si="9"/>
        <v>0.72740726017565205</v>
      </c>
      <c r="H261" s="242">
        <f t="shared" si="6"/>
        <v>9.8929112096903631E-3</v>
      </c>
      <c r="I261" s="241">
        <f t="shared" si="7"/>
        <v>8.7256147117685715E-2</v>
      </c>
      <c r="J261" s="241">
        <f t="shared" si="8"/>
        <v>0.64015111305796635</v>
      </c>
      <c r="K261" s="4">
        <v>0.72303802034712805</v>
      </c>
    </row>
    <row r="262" spans="3:11" x14ac:dyDescent="0.35">
      <c r="C262" s="24" t="s">
        <v>37</v>
      </c>
      <c r="E262" s="209">
        <f>+E92*$E$19</f>
        <v>51763.676134435656</v>
      </c>
      <c r="G262" s="233">
        <f t="shared" si="9"/>
        <v>0.6089844251110077</v>
      </c>
      <c r="H262" s="242">
        <f t="shared" si="6"/>
        <v>8.2823325742620718E-3</v>
      </c>
      <c r="I262" s="241">
        <f t="shared" si="7"/>
        <v>7.3050734435938722E-2</v>
      </c>
      <c r="J262" s="241">
        <f t="shared" si="8"/>
        <v>0.53593369067506902</v>
      </c>
      <c r="K262" s="4">
        <v>0.60532650313136827</v>
      </c>
    </row>
    <row r="263" spans="3:11" x14ac:dyDescent="0.35">
      <c r="C263" s="24"/>
      <c r="E263" s="209"/>
      <c r="G263" s="240"/>
      <c r="H263" s="243"/>
    </row>
    <row r="264" spans="3:11" x14ac:dyDescent="0.35">
      <c r="C264" s="24" t="s">
        <v>281</v>
      </c>
      <c r="E264" s="209">
        <f>+E201*E156</f>
        <v>0</v>
      </c>
      <c r="G264" s="233">
        <f t="shared" si="9"/>
        <v>0</v>
      </c>
      <c r="H264" s="242">
        <f>+G264/$G$268</f>
        <v>0</v>
      </c>
      <c r="I264" s="241">
        <f t="shared" si="7"/>
        <v>0</v>
      </c>
      <c r="J264" s="241">
        <f>G264-I264</f>
        <v>0</v>
      </c>
      <c r="K264" s="4">
        <v>0.23281629982588431</v>
      </c>
    </row>
    <row r="265" spans="3:11" x14ac:dyDescent="0.35">
      <c r="C265" s="24" t="s">
        <v>38</v>
      </c>
      <c r="E265" s="209">
        <f>+E94*$E$19</f>
        <v>0</v>
      </c>
      <c r="G265" s="233">
        <f t="shared" si="9"/>
        <v>0</v>
      </c>
      <c r="H265" s="242">
        <f>+G265/$G$268</f>
        <v>0</v>
      </c>
      <c r="I265" s="241">
        <f>H265*$E$271</f>
        <v>0</v>
      </c>
      <c r="J265" s="241">
        <f>G265-I265</f>
        <v>0</v>
      </c>
      <c r="K265" s="4">
        <v>0.48747619156542915</v>
      </c>
    </row>
    <row r="266" spans="3:11" x14ac:dyDescent="0.35">
      <c r="C266" s="29" t="s">
        <v>39</v>
      </c>
      <c r="E266" s="209">
        <f>+E95*$E$19</f>
        <v>0</v>
      </c>
      <c r="G266" s="233">
        <f t="shared" si="9"/>
        <v>0</v>
      </c>
    </row>
    <row r="267" spans="3:11" x14ac:dyDescent="0.35">
      <c r="E267" s="209"/>
      <c r="G267" s="34"/>
    </row>
    <row r="268" spans="3:11" x14ac:dyDescent="0.35">
      <c r="E268" s="209">
        <f>SUM(E231:E266)</f>
        <v>37644805.758779921</v>
      </c>
      <c r="G268" s="233">
        <f>SUM(G241:G265)-G249-G250</f>
        <v>73.528129865669655</v>
      </c>
      <c r="J268" s="54">
        <f>SUM(E241:E266)/E156</f>
        <v>156.29985866610733</v>
      </c>
    </row>
    <row r="269" spans="3:11" x14ac:dyDescent="0.35">
      <c r="E269" s="238">
        <f>E268/E156</f>
        <v>442.880067750352</v>
      </c>
      <c r="G269" s="34"/>
      <c r="J269" s="238">
        <f>+J268+J237</f>
        <v>125.90860418212156</v>
      </c>
      <c r="K269" s="4" t="s">
        <v>224</v>
      </c>
    </row>
    <row r="270" spans="3:11" x14ac:dyDescent="0.35">
      <c r="E270" s="239">
        <v>434.06</v>
      </c>
      <c r="G270" s="34"/>
    </row>
    <row r="271" spans="3:11" x14ac:dyDescent="0.35">
      <c r="E271" s="54">
        <f>E269-E270</f>
        <v>8.8200677503519955</v>
      </c>
      <c r="G271" s="34"/>
    </row>
    <row r="272" spans="3:11" x14ac:dyDescent="0.35">
      <c r="E272" s="209"/>
      <c r="G272" s="34"/>
    </row>
    <row r="273" spans="5:7" x14ac:dyDescent="0.35">
      <c r="E273" s="209"/>
      <c r="G273" s="34"/>
    </row>
    <row r="274" spans="5:7" x14ac:dyDescent="0.35">
      <c r="G274" s="34"/>
    </row>
    <row r="275" spans="5:7" x14ac:dyDescent="0.35">
      <c r="G275" s="34"/>
    </row>
    <row r="276" spans="5:7" x14ac:dyDescent="0.35">
      <c r="G276" s="34"/>
    </row>
    <row r="277" spans="5:7" x14ac:dyDescent="0.35">
      <c r="G277" s="34"/>
    </row>
    <row r="351" spans="2:20" ht="13" x14ac:dyDescent="0.3"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2:20" ht="13" x14ac:dyDescent="0.3"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2:20" ht="13" x14ac:dyDescent="0.3"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2:20" ht="13" x14ac:dyDescent="0.3"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2:20" ht="13" x14ac:dyDescent="0.3"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2:20" ht="13" x14ac:dyDescent="0.3"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2:20" ht="13" x14ac:dyDescent="0.3"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2:20" ht="13" x14ac:dyDescent="0.3"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2:20" ht="13" x14ac:dyDescent="0.3"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2:20" ht="13" x14ac:dyDescent="0.3"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</sheetData>
  <pageMargins left="0.7" right="0.7" top="0.75" bottom="0.75" header="0.3" footer="0.3"/>
  <pageSetup orientation="portrait" r:id="rId1"/>
  <headerFooter>
    <oddFooter>&amp;C&amp;1#&amp;"Calibri"&amp;10&amp;K737373EZDK Business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D6EBD"/>
  </sheetPr>
  <dimension ref="B1:V360"/>
  <sheetViews>
    <sheetView showGridLines="0" topLeftCell="A246" zoomScaleNormal="100" workbookViewId="0">
      <selection activeCell="E271" sqref="E271"/>
    </sheetView>
  </sheetViews>
  <sheetFormatPr defaultColWidth="9.1796875" defaultRowHeight="13.5" x14ac:dyDescent="0.35"/>
  <cols>
    <col min="1" max="1" width="9.1796875" style="4"/>
    <col min="2" max="2" width="2.26953125" style="4" customWidth="1"/>
    <col min="3" max="3" width="31.81640625" style="108" customWidth="1"/>
    <col min="4" max="4" width="7.81640625" style="109" customWidth="1"/>
    <col min="5" max="5" width="16.453125" style="4" customWidth="1"/>
    <col min="6" max="6" width="3.7265625" style="4" customWidth="1"/>
    <col min="7" max="7" width="16.81640625" style="4" bestFit="1" customWidth="1"/>
    <col min="8" max="8" width="14.453125" style="4" bestFit="1" customWidth="1"/>
    <col min="9" max="9" width="11.26953125" style="4" customWidth="1"/>
    <col min="10" max="10" width="19.54296875" style="4" bestFit="1" customWidth="1"/>
    <col min="11" max="16384" width="9.1796875" style="4"/>
  </cols>
  <sheetData>
    <row r="1" spans="2:22" ht="13" x14ac:dyDescent="0.3"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2:22" s="6" customFormat="1" ht="15" thickBot="1" x14ac:dyDescent="0.4">
      <c r="B2" s="2"/>
      <c r="C2" s="2"/>
      <c r="D2" s="3"/>
      <c r="E2" s="5" t="str">
        <f>'[1]EFS MS Flat'!N2</f>
        <v xml:space="preserve">Base 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14" thickTop="1" thickBot="1" x14ac:dyDescent="0.35">
      <c r="B3" s="2"/>
      <c r="C3" s="7" t="s">
        <v>0</v>
      </c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2" ht="14" thickTop="1" thickBot="1" x14ac:dyDescent="0.35">
      <c r="B4" s="2"/>
      <c r="C4" s="2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2" ht="14.5" thickTop="1" x14ac:dyDescent="0.3">
      <c r="B5" s="2"/>
      <c r="C5" s="9" t="s">
        <v>1</v>
      </c>
      <c r="D5" s="3"/>
      <c r="E5" s="10">
        <f>+Billet!D7</f>
        <v>16.2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2" ht="14" x14ac:dyDescent="0.3">
      <c r="B6" s="2"/>
      <c r="C6" s="12" t="s">
        <v>2</v>
      </c>
      <c r="D6" s="3"/>
      <c r="E6" s="1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2:22" ht="7.5" customHeight="1" thickBot="1" x14ac:dyDescent="0.35">
      <c r="B7" s="2"/>
      <c r="C7" s="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2" ht="15" thickTop="1" thickBot="1" x14ac:dyDescent="0.35">
      <c r="B8" s="2"/>
      <c r="C8" s="9" t="s">
        <v>3</v>
      </c>
      <c r="D8" s="3"/>
      <c r="E8" s="14">
        <v>1200000</v>
      </c>
      <c r="F8" s="1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2:22" ht="14.5" thickTop="1" x14ac:dyDescent="0.3">
      <c r="B9" s="2"/>
      <c r="C9" s="9" t="s">
        <v>4</v>
      </c>
      <c r="D9" s="3" t="s">
        <v>5</v>
      </c>
      <c r="E9" s="16">
        <v>1</v>
      </c>
      <c r="F9" s="1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2:22" ht="14" x14ac:dyDescent="0.3">
      <c r="B10" s="2"/>
      <c r="C10" s="12" t="s">
        <v>89</v>
      </c>
      <c r="D10" s="3"/>
      <c r="E10" s="19">
        <f>('Market Share'!G20+'Market Share'!G7)*1000</f>
        <v>15000</v>
      </c>
      <c r="F10" s="1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2:22" ht="14" x14ac:dyDescent="0.3">
      <c r="B11" s="2"/>
      <c r="C11" s="12"/>
      <c r="D11" s="3"/>
      <c r="E11" s="18"/>
      <c r="F11" s="1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2:22" ht="14" x14ac:dyDescent="0.3">
      <c r="B12" s="2"/>
      <c r="C12" s="12" t="s">
        <v>7</v>
      </c>
      <c r="D12" s="3" t="s">
        <v>5</v>
      </c>
      <c r="E12" s="16">
        <v>0.5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2" ht="14" x14ac:dyDescent="0.3">
      <c r="B13" s="2"/>
      <c r="C13" s="12" t="s">
        <v>8</v>
      </c>
      <c r="D13" s="3" t="s">
        <v>5</v>
      </c>
      <c r="E13" s="16">
        <v>0.5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2:22" ht="6.75" customHeight="1" x14ac:dyDescent="0.3">
      <c r="B14" s="2"/>
      <c r="C14" s="12"/>
      <c r="D14" s="3"/>
      <c r="E14" s="1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2:22" ht="14" x14ac:dyDescent="0.3">
      <c r="B15" s="2"/>
      <c r="C15" s="12" t="s">
        <v>9</v>
      </c>
      <c r="D15" s="3" t="s">
        <v>10</v>
      </c>
      <c r="E15" s="20">
        <v>565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2:22" ht="14" x14ac:dyDescent="0.3">
      <c r="B16" s="2"/>
      <c r="C16" s="12" t="s">
        <v>11</v>
      </c>
      <c r="D16" s="3" t="s">
        <v>10</v>
      </c>
      <c r="E16" s="20">
        <v>677.69333333333338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2:20" ht="14" x14ac:dyDescent="0.3">
      <c r="B17" s="2"/>
      <c r="C17" s="12" t="s">
        <v>11</v>
      </c>
      <c r="D17" s="3" t="s">
        <v>12</v>
      </c>
      <c r="E17" s="13">
        <f>E16*E5</f>
        <v>10978.632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2:20" ht="8.25" customHeight="1" thickBot="1" x14ac:dyDescent="0.35">
      <c r="B18" s="2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2:20" ht="14.5" thickTop="1" x14ac:dyDescent="0.3">
      <c r="B19" s="2"/>
      <c r="C19" s="21" t="s">
        <v>13</v>
      </c>
      <c r="D19" s="22" t="s">
        <v>14</v>
      </c>
      <c r="E19" s="23">
        <f>E106</f>
        <v>15618.492294877135</v>
      </c>
      <c r="F19" s="2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2:20" ht="13" x14ac:dyDescent="0.3">
      <c r="B20" s="2"/>
      <c r="C20" s="24" t="s">
        <v>15</v>
      </c>
      <c r="D20" s="22" t="s">
        <v>5</v>
      </c>
      <c r="E20" s="25">
        <f>+Flat!F17%</f>
        <v>0.8417</v>
      </c>
      <c r="F20" s="2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2:20" ht="13" x14ac:dyDescent="0.3">
      <c r="B21" s="2"/>
      <c r="C21" s="29" t="s">
        <v>16</v>
      </c>
      <c r="D21" s="22" t="s">
        <v>14</v>
      </c>
      <c r="E21" s="30">
        <f>E19/E20</f>
        <v>18555.889622047209</v>
      </c>
      <c r="F21" s="2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2:20" ht="9" customHeight="1" thickBot="1" x14ac:dyDescent="0.35"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2:20" ht="15" thickTop="1" thickBot="1" x14ac:dyDescent="0.35">
      <c r="B23" s="2"/>
      <c r="C23" s="31" t="s">
        <v>17</v>
      </c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2:20" thickTop="1" x14ac:dyDescent="0.3">
      <c r="B24" s="2"/>
      <c r="C24" s="24" t="s">
        <v>18</v>
      </c>
      <c r="D24" s="32">
        <f>+Flat!F15%</f>
        <v>5.978E-2</v>
      </c>
      <c r="E24" s="33">
        <f>D24*$E$21</f>
        <v>1109.2710816059821</v>
      </c>
      <c r="F24" s="2"/>
      <c r="G24" s="3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2:20" ht="13" x14ac:dyDescent="0.3">
      <c r="B25" s="2"/>
      <c r="C25" s="24" t="s">
        <v>19</v>
      </c>
      <c r="D25" s="32">
        <f>+Flat!F14%</f>
        <v>0.14000000000000001</v>
      </c>
      <c r="E25" s="35">
        <f>D25*$E$21</f>
        <v>2597.8245470866095</v>
      </c>
      <c r="F25" s="2"/>
      <c r="G25" s="3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2:20" ht="13" x14ac:dyDescent="0.3">
      <c r="B26" s="2"/>
      <c r="C26" s="24" t="s">
        <v>20</v>
      </c>
      <c r="D26" s="32">
        <f>+Flat!F13%</f>
        <v>0.8</v>
      </c>
      <c r="E26" s="35">
        <f>D26*$E$21</f>
        <v>14844.711697637767</v>
      </c>
      <c r="F26" s="2"/>
      <c r="G26" s="3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2:20" ht="13" x14ac:dyDescent="0.3">
      <c r="B27" s="2"/>
      <c r="C27" s="24" t="s">
        <v>21</v>
      </c>
      <c r="D27" s="32">
        <v>0</v>
      </c>
      <c r="E27" s="35">
        <f>D27*$E$21</f>
        <v>0</v>
      </c>
      <c r="F27" s="2"/>
      <c r="G27" s="3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2:20" ht="13" x14ac:dyDescent="0.3">
      <c r="B28" s="2"/>
      <c r="C28" s="24" t="s">
        <v>22</v>
      </c>
      <c r="D28" s="32">
        <v>0</v>
      </c>
      <c r="E28" s="35">
        <f>D28*$E$21</f>
        <v>0</v>
      </c>
      <c r="F28" s="2"/>
      <c r="G28" s="3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2:20" ht="8.25" customHeight="1" x14ac:dyDescent="0.3">
      <c r="B29" s="2"/>
      <c r="C29" s="24"/>
      <c r="D29" s="36"/>
      <c r="E29" s="37"/>
      <c r="F29" s="2"/>
      <c r="G29" s="3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2:20" ht="13" x14ac:dyDescent="0.3">
      <c r="B30" s="2"/>
      <c r="C30" s="24" t="s">
        <v>23</v>
      </c>
      <c r="D30" s="38">
        <v>-3.267341082570191E-2</v>
      </c>
      <c r="E30" s="39">
        <f>+D30*E21</f>
        <v>-606.28420485752702</v>
      </c>
      <c r="F30" s="2"/>
      <c r="G30" s="73"/>
      <c r="H30" s="3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2:20" thickBot="1" x14ac:dyDescent="0.35">
      <c r="B31" s="2"/>
      <c r="C31" s="24"/>
      <c r="D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2:20" thickTop="1" x14ac:dyDescent="0.3">
      <c r="B32" s="2"/>
      <c r="C32" s="24" t="s">
        <v>24</v>
      </c>
      <c r="D32" s="3" t="s">
        <v>25</v>
      </c>
      <c r="E32" s="33">
        <v>422.601588476686</v>
      </c>
      <c r="F32" s="40"/>
      <c r="G32" s="34"/>
      <c r="H32" s="3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2:20" ht="13" x14ac:dyDescent="0.3">
      <c r="B33" s="2"/>
      <c r="C33" s="42" t="s">
        <v>26</v>
      </c>
      <c r="D33" s="3" t="s">
        <v>25</v>
      </c>
      <c r="E33" s="43">
        <v>10.508597530041635</v>
      </c>
      <c r="F33" s="15"/>
      <c r="G33" s="34"/>
      <c r="H33" s="3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2:20" ht="13" x14ac:dyDescent="0.3">
      <c r="B34" s="2"/>
      <c r="C34" s="24" t="s">
        <v>27</v>
      </c>
      <c r="D34" s="3" t="s">
        <v>25</v>
      </c>
      <c r="E34" s="90">
        <v>2.5805617152642326</v>
      </c>
      <c r="F34" s="15"/>
      <c r="G34" s="3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2:20" ht="13" x14ac:dyDescent="0.3">
      <c r="B35" s="2"/>
      <c r="C35" s="24" t="s">
        <v>28</v>
      </c>
      <c r="D35" s="3" t="s">
        <v>25</v>
      </c>
      <c r="E35" s="45">
        <v>1.2842586100701208</v>
      </c>
      <c r="F35" s="15"/>
      <c r="G35" s="3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2:20" thickBot="1" x14ac:dyDescent="0.35">
      <c r="B36" s="2"/>
      <c r="C36" s="24"/>
      <c r="D36" s="3"/>
      <c r="E36" s="46"/>
      <c r="F36" s="15"/>
      <c r="G36" s="3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2:20" thickTop="1" x14ac:dyDescent="0.3">
      <c r="B37" s="2"/>
      <c r="C37" s="24" t="s">
        <v>214</v>
      </c>
      <c r="D37" s="22" t="s">
        <v>216</v>
      </c>
      <c r="E37" s="47">
        <f>+Flat!F20</f>
        <v>708.39</v>
      </c>
      <c r="F37" s="15"/>
      <c r="G37" s="34"/>
      <c r="H37" s="3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2:20" ht="13" x14ac:dyDescent="0.3">
      <c r="B38" s="2"/>
      <c r="C38" s="24" t="s">
        <v>215</v>
      </c>
      <c r="D38" s="22" t="s">
        <v>216</v>
      </c>
      <c r="E38" s="43">
        <v>239.71538869801327</v>
      </c>
      <c r="F38" s="15"/>
      <c r="G38" s="34"/>
      <c r="H38" s="3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2:20" ht="13" x14ac:dyDescent="0.3">
      <c r="B39" s="2"/>
      <c r="C39" s="24" t="s">
        <v>31</v>
      </c>
      <c r="D39" s="3" t="s">
        <v>32</v>
      </c>
      <c r="E39" s="43">
        <v>14.593054013829949</v>
      </c>
      <c r="F39" s="15"/>
      <c r="G39" s="34"/>
      <c r="H39" s="3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2:20" ht="13" x14ac:dyDescent="0.3">
      <c r="B40" s="2"/>
      <c r="C40" s="24" t="s">
        <v>33</v>
      </c>
      <c r="D40" s="3" t="s">
        <v>34</v>
      </c>
      <c r="E40" s="48">
        <v>1.5488840367719656</v>
      </c>
      <c r="F40" s="15"/>
      <c r="G40" s="34"/>
      <c r="H40" s="3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2:20" ht="13" x14ac:dyDescent="0.3">
      <c r="B41" s="2"/>
      <c r="C41" s="24" t="s">
        <v>35</v>
      </c>
      <c r="D41" s="3" t="s">
        <v>32</v>
      </c>
      <c r="E41" s="43">
        <v>34.797487538644887</v>
      </c>
      <c r="F41" s="15"/>
      <c r="G41" s="34"/>
      <c r="H41" s="3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2:20" ht="13" x14ac:dyDescent="0.3">
      <c r="B42" s="2"/>
      <c r="C42" s="24" t="s">
        <v>36</v>
      </c>
      <c r="D42" s="3" t="s">
        <v>32</v>
      </c>
      <c r="E42" s="43">
        <v>4.0864981185504865</v>
      </c>
      <c r="F42" s="15"/>
      <c r="G42" s="34"/>
      <c r="H42" s="3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2:20" ht="13" x14ac:dyDescent="0.3">
      <c r="B43" s="2"/>
      <c r="C43" s="24" t="s">
        <v>37</v>
      </c>
      <c r="D43" s="3" t="s">
        <v>32</v>
      </c>
      <c r="E43" s="45">
        <v>0.30455884119407506</v>
      </c>
      <c r="F43" s="15"/>
      <c r="G43" s="34"/>
      <c r="H43" s="3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2:20" thickBot="1" x14ac:dyDescent="0.35">
      <c r="B44" s="2"/>
      <c r="C44" s="24"/>
      <c r="D44" s="3"/>
      <c r="E44" s="15"/>
      <c r="F44" s="15"/>
      <c r="G44" s="3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2:20" thickTop="1" x14ac:dyDescent="0.3">
      <c r="B45" s="2"/>
      <c r="C45" s="42" t="s">
        <v>38</v>
      </c>
      <c r="D45" s="3" t="s">
        <v>25</v>
      </c>
      <c r="E45" s="33">
        <v>0.98684612494664881</v>
      </c>
      <c r="F45" s="15"/>
      <c r="G45" s="3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2:20" ht="13" x14ac:dyDescent="0.3">
      <c r="B46" s="2"/>
      <c r="C46" s="49" t="s">
        <v>39</v>
      </c>
      <c r="D46" s="3" t="s">
        <v>25</v>
      </c>
      <c r="E46" s="45">
        <v>0</v>
      </c>
      <c r="F46" s="15"/>
      <c r="G46" s="3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2:20" ht="9.75" customHeight="1" thickBot="1" x14ac:dyDescent="0.35">
      <c r="B47" s="2"/>
      <c r="C47" s="2"/>
      <c r="D47" s="3"/>
      <c r="E47" s="2"/>
      <c r="F47" s="2"/>
      <c r="G47" s="3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2:20" ht="15" thickTop="1" thickBot="1" x14ac:dyDescent="0.35">
      <c r="B48" s="2"/>
      <c r="C48" s="31" t="s">
        <v>40</v>
      </c>
      <c r="D48" s="3"/>
      <c r="E48" s="2"/>
      <c r="F48" s="2"/>
      <c r="G48" s="3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2:20" thickTop="1" x14ac:dyDescent="0.3">
      <c r="B49" s="2"/>
      <c r="C49" s="24" t="s">
        <v>18</v>
      </c>
      <c r="D49" s="3" t="s">
        <v>41</v>
      </c>
      <c r="E49" s="50">
        <f>+Flat!F10</f>
        <v>267.27</v>
      </c>
      <c r="F49" s="15"/>
      <c r="G49" s="3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2:20" ht="13" x14ac:dyDescent="0.3">
      <c r="B50" s="2"/>
      <c r="C50" s="24" t="s">
        <v>19</v>
      </c>
      <c r="D50" s="3" t="s">
        <v>41</v>
      </c>
      <c r="E50" s="51">
        <f>+Flat!F9</f>
        <v>248.87</v>
      </c>
      <c r="F50" s="15"/>
      <c r="G50" s="3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2:20" ht="13" x14ac:dyDescent="0.3">
      <c r="B51" s="2"/>
      <c r="C51" s="24" t="s">
        <v>20</v>
      </c>
      <c r="D51" s="3" t="s">
        <v>41</v>
      </c>
      <c r="E51" s="51">
        <f>+Flat!F8</f>
        <v>267.30002568409776</v>
      </c>
      <c r="F51" s="15"/>
      <c r="G51" s="3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2:20" ht="13" x14ac:dyDescent="0.3">
      <c r="B52" s="2"/>
      <c r="C52" s="24" t="s">
        <v>21</v>
      </c>
      <c r="D52" s="3" t="s">
        <v>41</v>
      </c>
      <c r="E52" s="51">
        <v>0</v>
      </c>
      <c r="F52" s="15"/>
      <c r="G52" s="3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2:20" ht="13" x14ac:dyDescent="0.3">
      <c r="B53" s="2"/>
      <c r="C53" s="24" t="s">
        <v>22</v>
      </c>
      <c r="D53" s="3" t="s">
        <v>41</v>
      </c>
      <c r="E53" s="51">
        <v>0</v>
      </c>
      <c r="F53" s="15"/>
      <c r="G53" s="3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2:20" ht="8.25" customHeight="1" x14ac:dyDescent="0.3">
      <c r="B54" s="2"/>
      <c r="C54" s="24"/>
      <c r="D54" s="3"/>
      <c r="E54" s="51"/>
      <c r="F54" s="15"/>
      <c r="G54" s="3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2:20" ht="13" x14ac:dyDescent="0.3">
      <c r="B55" s="2"/>
      <c r="C55" s="24" t="s">
        <v>42</v>
      </c>
      <c r="D55" s="3" t="s">
        <v>41</v>
      </c>
      <c r="E55" s="53">
        <v>352.50467887873486</v>
      </c>
      <c r="F55" s="15"/>
      <c r="G55" s="3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2:20" ht="10.5" customHeight="1" thickBot="1" x14ac:dyDescent="0.35">
      <c r="B56" s="2"/>
      <c r="C56" s="24"/>
      <c r="D56" s="3"/>
      <c r="E56" s="54"/>
      <c r="F56" s="2"/>
      <c r="G56" s="3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2:20" thickTop="1" x14ac:dyDescent="0.3">
      <c r="B57" s="2"/>
      <c r="C57" s="24" t="s">
        <v>24</v>
      </c>
      <c r="D57" s="3" t="s">
        <v>43</v>
      </c>
      <c r="E57" s="50">
        <v>83.695530721714874</v>
      </c>
      <c r="F57" s="15"/>
      <c r="G57" s="3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2:20" ht="13" x14ac:dyDescent="0.3">
      <c r="B58" s="2"/>
      <c r="C58" s="42" t="s">
        <v>26</v>
      </c>
      <c r="D58" s="3" t="s">
        <v>43</v>
      </c>
      <c r="E58" s="51">
        <v>1295.9647670404595</v>
      </c>
      <c r="F58" s="15"/>
      <c r="G58" s="3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2:20" ht="13" x14ac:dyDescent="0.3">
      <c r="B59" s="2"/>
      <c r="C59" s="24" t="s">
        <v>27</v>
      </c>
      <c r="D59" s="3" t="s">
        <v>43</v>
      </c>
      <c r="E59" s="51">
        <v>6438.5500262824808</v>
      </c>
      <c r="F59" s="15"/>
      <c r="G59" s="3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2:20" ht="13" x14ac:dyDescent="0.3">
      <c r="B60" s="2"/>
      <c r="C60" s="24" t="s">
        <v>28</v>
      </c>
      <c r="D60" s="3" t="s">
        <v>43</v>
      </c>
      <c r="E60" s="53">
        <v>257.32978443211698</v>
      </c>
      <c r="F60" s="15"/>
      <c r="G60" s="3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2:20" ht="9" customHeight="1" thickBot="1" x14ac:dyDescent="0.35">
      <c r="B61" s="2"/>
      <c r="C61" s="55"/>
      <c r="D61" s="3"/>
      <c r="E61" s="56"/>
      <c r="F61" s="15"/>
      <c r="G61" s="3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2:20" thickTop="1" x14ac:dyDescent="0.3">
      <c r="B62" s="2"/>
      <c r="C62" s="24" t="s">
        <v>29</v>
      </c>
      <c r="D62" s="22" t="s">
        <v>44</v>
      </c>
      <c r="E62" s="57">
        <f>+Billet!E11</f>
        <v>7.0000000000000007E-2</v>
      </c>
      <c r="F62" s="15"/>
      <c r="G62" s="34"/>
      <c r="H62" s="34"/>
      <c r="I62" s="2"/>
      <c r="J62" s="34"/>
      <c r="K62" s="34"/>
      <c r="L62" s="2"/>
      <c r="M62" s="2"/>
      <c r="N62" s="2"/>
      <c r="O62" s="2"/>
      <c r="P62" s="2"/>
      <c r="Q62" s="2"/>
      <c r="R62" s="2"/>
      <c r="S62" s="2"/>
      <c r="T62" s="2"/>
    </row>
    <row r="63" spans="2:20" ht="13" x14ac:dyDescent="0.3">
      <c r="B63" s="2"/>
      <c r="C63" s="24" t="s">
        <v>31</v>
      </c>
      <c r="D63" s="22" t="s">
        <v>45</v>
      </c>
      <c r="E63" s="59">
        <v>0.25072464212651396</v>
      </c>
      <c r="F63" s="15"/>
      <c r="G63" s="34"/>
      <c r="H63" s="34"/>
      <c r="I63" s="2"/>
      <c r="J63" s="34"/>
      <c r="K63" s="34"/>
      <c r="L63" s="2"/>
      <c r="M63" s="2"/>
      <c r="N63" s="2"/>
      <c r="O63" s="2"/>
      <c r="P63" s="2"/>
      <c r="Q63" s="2"/>
      <c r="R63" s="2"/>
      <c r="S63" s="2"/>
      <c r="T63" s="2"/>
    </row>
    <row r="64" spans="2:20" ht="13" x14ac:dyDescent="0.3">
      <c r="B64" s="2"/>
      <c r="C64" s="24" t="s">
        <v>33</v>
      </c>
      <c r="D64" s="22" t="s">
        <v>46</v>
      </c>
      <c r="E64" s="59">
        <v>0.27163955106549381</v>
      </c>
      <c r="F64" s="15"/>
      <c r="G64" s="34"/>
      <c r="H64" s="34"/>
      <c r="I64" s="2"/>
      <c r="J64" s="34"/>
      <c r="K64" s="34"/>
      <c r="L64" s="2"/>
      <c r="M64" s="2"/>
      <c r="N64" s="2"/>
      <c r="O64" s="2"/>
      <c r="P64" s="2"/>
      <c r="Q64" s="2"/>
      <c r="R64" s="2"/>
      <c r="S64" s="2"/>
      <c r="T64" s="2"/>
    </row>
    <row r="65" spans="2:20" ht="13" x14ac:dyDescent="0.3">
      <c r="B65" s="2"/>
      <c r="C65" s="24" t="s">
        <v>35</v>
      </c>
      <c r="D65" s="22" t="s">
        <v>45</v>
      </c>
      <c r="E65" s="59">
        <v>0.17166474630834155</v>
      </c>
      <c r="F65" s="15"/>
      <c r="G65" s="34"/>
      <c r="H65" s="34"/>
      <c r="I65" s="2"/>
      <c r="J65" s="2"/>
      <c r="K65" s="34"/>
      <c r="L65" s="2"/>
      <c r="M65" s="2"/>
      <c r="N65" s="2"/>
      <c r="O65" s="2"/>
      <c r="P65" s="2"/>
      <c r="Q65" s="2"/>
      <c r="R65" s="2"/>
      <c r="S65" s="2"/>
      <c r="T65" s="2"/>
    </row>
    <row r="66" spans="2:20" ht="13" x14ac:dyDescent="0.3">
      <c r="B66" s="2"/>
      <c r="C66" s="24" t="s">
        <v>36</v>
      </c>
      <c r="D66" s="22" t="s">
        <v>45</v>
      </c>
      <c r="E66" s="59">
        <v>0.17166474630834158</v>
      </c>
      <c r="F66" s="15"/>
      <c r="G66" s="34"/>
      <c r="H66" s="34"/>
      <c r="I66" s="2"/>
      <c r="J66" s="2"/>
      <c r="K66" s="34"/>
      <c r="L66" s="2"/>
      <c r="M66" s="2"/>
      <c r="N66" s="2"/>
      <c r="O66" s="2"/>
      <c r="P66" s="2"/>
      <c r="Q66" s="2"/>
      <c r="R66" s="2"/>
      <c r="S66" s="2"/>
      <c r="T66" s="2"/>
    </row>
    <row r="67" spans="2:20" ht="13" x14ac:dyDescent="0.3">
      <c r="B67" s="2"/>
      <c r="C67" s="24" t="s">
        <v>37</v>
      </c>
      <c r="D67" s="22" t="s">
        <v>45</v>
      </c>
      <c r="E67" s="60">
        <v>1.9283673168637039</v>
      </c>
      <c r="F67" s="15"/>
      <c r="G67" s="34"/>
      <c r="H67" s="34"/>
      <c r="I67" s="2"/>
      <c r="J67" s="2"/>
      <c r="K67" s="34"/>
      <c r="L67" s="2"/>
      <c r="M67" s="2"/>
      <c r="N67" s="2"/>
      <c r="O67" s="2"/>
      <c r="P67" s="2"/>
      <c r="Q67" s="2"/>
      <c r="R67" s="2"/>
      <c r="S67" s="2"/>
      <c r="T67" s="2"/>
    </row>
    <row r="68" spans="2:20" thickBot="1" x14ac:dyDescent="0.35">
      <c r="B68" s="2"/>
      <c r="C68" s="24"/>
      <c r="D68" s="3"/>
      <c r="E68" s="56"/>
      <c r="F68" s="15"/>
      <c r="G68" s="3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2:20" thickTop="1" x14ac:dyDescent="0.3">
      <c r="B69" s="2"/>
      <c r="C69" s="42" t="s">
        <v>38</v>
      </c>
      <c r="D69" s="3" t="s">
        <v>41</v>
      </c>
      <c r="E69" s="50">
        <v>11.9200729825991</v>
      </c>
      <c r="F69" s="15"/>
      <c r="G69" s="3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2:20" ht="13" x14ac:dyDescent="0.3">
      <c r="B70" s="2"/>
      <c r="C70" s="49" t="s">
        <v>39</v>
      </c>
      <c r="D70" s="3" t="s">
        <v>41</v>
      </c>
      <c r="E70" s="53">
        <v>0</v>
      </c>
      <c r="F70" s="15"/>
      <c r="G70" s="3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2:20" ht="11.25" customHeight="1" thickBot="1" x14ac:dyDescent="0.35">
      <c r="B71" s="2"/>
      <c r="C71" s="2"/>
      <c r="D71" s="3"/>
      <c r="E71" s="2"/>
      <c r="F71" s="2"/>
      <c r="G71" s="3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2:20" ht="15" thickTop="1" thickBot="1" x14ac:dyDescent="0.35">
      <c r="B72" s="2"/>
      <c r="C72" s="31" t="s">
        <v>47</v>
      </c>
      <c r="D72" s="3"/>
      <c r="E72" s="2"/>
      <c r="F72" s="2"/>
      <c r="G72" s="3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2:20" thickTop="1" x14ac:dyDescent="0.3">
      <c r="B73" s="2"/>
      <c r="C73" s="24" t="s">
        <v>18</v>
      </c>
      <c r="D73" s="3" t="s">
        <v>41</v>
      </c>
      <c r="E73" s="58">
        <f>E24*E49/E$19</f>
        <v>18.982298443625993</v>
      </c>
      <c r="F73" s="63"/>
      <c r="G73" s="65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2:20" ht="13" x14ac:dyDescent="0.3">
      <c r="B74" s="2"/>
      <c r="C74" s="24" t="s">
        <v>19</v>
      </c>
      <c r="D74" s="3" t="s">
        <v>41</v>
      </c>
      <c r="E74" s="66">
        <f>E25*E50/E$19</f>
        <v>41.394558631341347</v>
      </c>
      <c r="F74" s="63"/>
      <c r="G74" s="6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2:20" ht="13" x14ac:dyDescent="0.3">
      <c r="B75" s="2"/>
      <c r="C75" s="24" t="s">
        <v>20</v>
      </c>
      <c r="D75" s="3" t="s">
        <v>41</v>
      </c>
      <c r="E75" s="67">
        <f>E26*E51/E$19</f>
        <v>254.05728947045054</v>
      </c>
      <c r="F75" s="63"/>
      <c r="G75" s="6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2:20" ht="13" x14ac:dyDescent="0.3">
      <c r="B76" s="2"/>
      <c r="C76" s="24" t="s">
        <v>21</v>
      </c>
      <c r="D76" s="3" t="s">
        <v>41</v>
      </c>
      <c r="E76" s="67">
        <f>E27*E52/E$19</f>
        <v>0</v>
      </c>
      <c r="F76" s="63"/>
      <c r="G76" s="6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2:20" ht="13" x14ac:dyDescent="0.3">
      <c r="B77" s="2"/>
      <c r="C77" s="24" t="s">
        <v>22</v>
      </c>
      <c r="D77" s="3" t="s">
        <v>41</v>
      </c>
      <c r="E77" s="67">
        <f>E28*E53/E$19</f>
        <v>0</v>
      </c>
      <c r="F77" s="63"/>
      <c r="G77" s="6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2:20" ht="8.25" customHeight="1" x14ac:dyDescent="0.3">
      <c r="B78" s="2"/>
      <c r="C78" s="24"/>
      <c r="D78" s="3"/>
      <c r="E78" s="67"/>
      <c r="F78" s="63"/>
      <c r="G78" s="6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2:20" ht="13" x14ac:dyDescent="0.3">
      <c r="B79" s="2"/>
      <c r="C79" s="24" t="s">
        <v>42</v>
      </c>
      <c r="D79" s="3" t="s">
        <v>41</v>
      </c>
      <c r="E79" s="37">
        <f>E30*E55/E$19</f>
        <v>-13.683652359495108</v>
      </c>
      <c r="F79" s="63"/>
      <c r="G79" s="65"/>
      <c r="H79" s="2"/>
      <c r="I79" s="69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2:20" thickBot="1" x14ac:dyDescent="0.35">
      <c r="B80" s="2"/>
      <c r="C80" s="24"/>
      <c r="D80" s="3"/>
      <c r="E80" s="70"/>
      <c r="F80" s="63"/>
      <c r="G80" s="3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2:20" thickTop="1" x14ac:dyDescent="0.3">
      <c r="B81" s="2"/>
      <c r="C81" s="24" t="s">
        <v>24</v>
      </c>
      <c r="D81" s="3" t="s">
        <v>41</v>
      </c>
      <c r="E81" s="64">
        <f>E57*E32/1000</f>
        <v>35.369864231395979</v>
      </c>
      <c r="F81" s="63"/>
      <c r="G81" s="234"/>
      <c r="H81" s="34"/>
      <c r="I81" s="2"/>
      <c r="J81" s="34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2:20" ht="13" x14ac:dyDescent="0.3">
      <c r="B82" s="2"/>
      <c r="C82" s="24" t="s">
        <v>26</v>
      </c>
      <c r="D82" s="3" t="s">
        <v>41</v>
      </c>
      <c r="E82" s="71">
        <f>E58*E33/1000</f>
        <v>13.618772149942357</v>
      </c>
      <c r="F82" s="63"/>
      <c r="G82" s="234"/>
      <c r="H82" s="34"/>
      <c r="I82" s="2"/>
      <c r="J82" s="34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2:20" ht="13" x14ac:dyDescent="0.3">
      <c r="B83" s="2"/>
      <c r="C83" s="24" t="s">
        <v>27</v>
      </c>
      <c r="D83" s="3" t="s">
        <v>41</v>
      </c>
      <c r="E83" s="66">
        <f>E59*E34/1000</f>
        <v>16.615075699638087</v>
      </c>
      <c r="F83" s="63"/>
      <c r="G83" s="234"/>
      <c r="H83" s="2"/>
      <c r="I83" s="2"/>
      <c r="J83" s="34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2:20" ht="13" x14ac:dyDescent="0.3">
      <c r="B84" s="2"/>
      <c r="C84" s="24" t="s">
        <v>28</v>
      </c>
      <c r="D84" s="3" t="s">
        <v>41</v>
      </c>
      <c r="E84" s="68">
        <f>E60*E35/1000</f>
        <v>0.33047799128443439</v>
      </c>
      <c r="F84" s="63"/>
      <c r="G84" s="234"/>
      <c r="H84" s="2"/>
      <c r="I84" s="2"/>
      <c r="J84" s="34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2:20" ht="14.5" thickBot="1" x14ac:dyDescent="0.35">
      <c r="B85" s="2"/>
      <c r="C85" s="55"/>
      <c r="D85" s="3"/>
      <c r="E85" s="63"/>
      <c r="F85" s="63"/>
      <c r="G85" s="3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2:20" thickTop="1" x14ac:dyDescent="0.3">
      <c r="B86" s="2"/>
      <c r="C86" s="24" t="s">
        <v>214</v>
      </c>
      <c r="D86" s="22" t="s">
        <v>44</v>
      </c>
      <c r="E86" s="58">
        <f>E62*E37</f>
        <v>49.587300000000006</v>
      </c>
      <c r="F86" s="63"/>
      <c r="G86" s="234"/>
      <c r="H86" s="34"/>
      <c r="I86" s="2"/>
      <c r="J86" s="34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2:20" ht="13" x14ac:dyDescent="0.3">
      <c r="B87" s="2"/>
      <c r="C87" s="24" t="s">
        <v>215</v>
      </c>
      <c r="D87" s="22" t="s">
        <v>44</v>
      </c>
      <c r="E87" s="37">
        <f t="shared" ref="E87:E92" si="0">E62*E38</f>
        <v>16.780077208860931</v>
      </c>
      <c r="F87" s="63"/>
      <c r="G87" s="234"/>
      <c r="H87" s="2"/>
      <c r="I87" s="2"/>
      <c r="J87" s="34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2:20" ht="13" x14ac:dyDescent="0.3">
      <c r="B88" s="2"/>
      <c r="C88" s="24" t="s">
        <v>31</v>
      </c>
      <c r="D88" s="22" t="s">
        <v>45</v>
      </c>
      <c r="E88" s="37">
        <f t="shared" si="0"/>
        <v>3.658838245150402</v>
      </c>
      <c r="F88" s="63"/>
      <c r="G88" s="234"/>
      <c r="H88" s="34"/>
      <c r="I88" s="2"/>
      <c r="J88" s="34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2:20" ht="13" x14ac:dyDescent="0.3">
      <c r="B89" s="2"/>
      <c r="C89" s="24" t="s">
        <v>33</v>
      </c>
      <c r="D89" s="22" t="s">
        <v>46</v>
      </c>
      <c r="E89" s="37">
        <f t="shared" si="0"/>
        <v>0.42073816440124656</v>
      </c>
      <c r="F89" s="63"/>
      <c r="G89" s="234"/>
      <c r="H89" s="34"/>
      <c r="I89" s="2"/>
      <c r="J89" s="34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2:20" ht="13" x14ac:dyDescent="0.3">
      <c r="B90" s="2"/>
      <c r="C90" s="24" t="s">
        <v>35</v>
      </c>
      <c r="D90" s="22" t="s">
        <v>45</v>
      </c>
      <c r="E90" s="37">
        <f t="shared" si="0"/>
        <v>5.9735018704891507</v>
      </c>
      <c r="F90" s="63"/>
      <c r="G90" s="234"/>
      <c r="H90" s="34"/>
      <c r="I90" s="2"/>
      <c r="J90" s="34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2:20" ht="13" x14ac:dyDescent="0.3">
      <c r="B91" s="2"/>
      <c r="C91" s="24" t="s">
        <v>36</v>
      </c>
      <c r="D91" s="22" t="s">
        <v>45</v>
      </c>
      <c r="E91" s="37">
        <f t="shared" si="0"/>
        <v>0.70150766281048449</v>
      </c>
      <c r="F91" s="63"/>
      <c r="G91" s="234"/>
      <c r="H91" s="34"/>
      <c r="I91" s="2"/>
      <c r="J91" s="34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2:20" ht="13" x14ac:dyDescent="0.3">
      <c r="B92" s="2"/>
      <c r="C92" s="24" t="s">
        <v>37</v>
      </c>
      <c r="D92" s="22" t="s">
        <v>45</v>
      </c>
      <c r="E92" s="61">
        <f t="shared" si="0"/>
        <v>0.58730131542053743</v>
      </c>
      <c r="F92" s="63"/>
      <c r="G92" s="234"/>
      <c r="H92" s="34"/>
      <c r="I92" s="2"/>
      <c r="J92" s="34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2:20" thickBot="1" x14ac:dyDescent="0.35">
      <c r="B93" s="2"/>
      <c r="C93" s="24"/>
      <c r="D93" s="3"/>
      <c r="E93" s="63"/>
      <c r="F93" s="63"/>
      <c r="G93" s="6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2:20" thickTop="1" x14ac:dyDescent="0.3">
      <c r="B94" s="2"/>
      <c r="C94" s="24" t="s">
        <v>38</v>
      </c>
      <c r="D94" s="3" t="s">
        <v>41</v>
      </c>
      <c r="E94" s="74">
        <f>E69*E45</f>
        <v>11.763277831959165</v>
      </c>
      <c r="F94" s="63"/>
      <c r="G94" s="73">
        <f>SUM(E81:E84)+SUM(E86:E92)+SUM(E94:E95)</f>
        <v>155.40673237135277</v>
      </c>
      <c r="H94" s="2">
        <f>G94*E19</f>
        <v>2427218.8521140064</v>
      </c>
      <c r="I94" s="2"/>
      <c r="J94" s="34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2:20" ht="13" x14ac:dyDescent="0.3">
      <c r="B95" s="2"/>
      <c r="C95" s="29" t="s">
        <v>39</v>
      </c>
      <c r="D95" s="3" t="s">
        <v>41</v>
      </c>
      <c r="E95" s="72">
        <f>E70*E46</f>
        <v>0</v>
      </c>
      <c r="F95" s="63"/>
      <c r="G95" s="62"/>
      <c r="H95" s="62"/>
      <c r="I95" s="2"/>
      <c r="J95" s="62"/>
      <c r="K95" s="2"/>
      <c r="N95" s="2"/>
      <c r="O95" s="2"/>
      <c r="P95" s="2"/>
      <c r="Q95" s="2"/>
      <c r="R95" s="2"/>
      <c r="S95" s="2"/>
      <c r="T95" s="2"/>
    </row>
    <row r="96" spans="2:20" ht="13" x14ac:dyDescent="0.3">
      <c r="B96" s="2"/>
      <c r="C96" s="75" t="s">
        <v>48</v>
      </c>
      <c r="D96" s="76" t="s">
        <v>41</v>
      </c>
      <c r="E96" s="77">
        <f>((1/E20)-1)*$D$24*E49</f>
        <v>3.0048978436259932</v>
      </c>
      <c r="F96" s="77"/>
      <c r="G96" s="3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2:20" ht="13" x14ac:dyDescent="0.3">
      <c r="B97" s="2"/>
      <c r="C97" s="75" t="s">
        <v>49</v>
      </c>
      <c r="D97" s="76" t="s">
        <v>41</v>
      </c>
      <c r="E97" s="77">
        <f>((1/E20)-1)*$D$25*E50</f>
        <v>6.5527586313413311</v>
      </c>
      <c r="F97" s="77"/>
      <c r="G97" s="3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2:20" ht="13" x14ac:dyDescent="0.3">
      <c r="B98" s="2"/>
      <c r="C98" s="75" t="s">
        <v>50</v>
      </c>
      <c r="D98" s="76" t="s">
        <v>41</v>
      </c>
      <c r="E98" s="77">
        <f>((1/E20)-1)*$D$26*E51</f>
        <v>40.217268923172306</v>
      </c>
      <c r="F98" s="77"/>
      <c r="G98" s="3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2:20" thickBot="1" x14ac:dyDescent="0.35">
      <c r="B99" s="2"/>
      <c r="C99" s="78" t="s">
        <v>51</v>
      </c>
      <c r="D99" s="79" t="s">
        <v>41</v>
      </c>
      <c r="E99" s="80">
        <f>SUM(E79:E98)</f>
        <v>191.49800540999732</v>
      </c>
      <c r="F99" s="80"/>
      <c r="G99" s="3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2:20" ht="14.5" thickTop="1" x14ac:dyDescent="0.3">
      <c r="B100" s="2"/>
      <c r="C100" s="9" t="s">
        <v>52</v>
      </c>
      <c r="D100" s="3" t="s">
        <v>41</v>
      </c>
      <c r="E100" s="81">
        <f>SUM(E73:E79)+SUM(E81:E84)+SUM(E86:E92)+SUM(E94:E95)</f>
        <v>456.15722655727558</v>
      </c>
      <c r="F100" s="6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2:20" thickBot="1" x14ac:dyDescent="0.35">
      <c r="B101" s="2"/>
      <c r="C101" s="2"/>
      <c r="D101" s="22"/>
      <c r="E101" s="83"/>
      <c r="F101" s="2"/>
      <c r="G101" s="3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2:20" thickBot="1" x14ac:dyDescent="0.35">
      <c r="B102" s="2"/>
      <c r="C102" s="7" t="s">
        <v>282</v>
      </c>
      <c r="D102" s="3"/>
      <c r="E102" s="2"/>
      <c r="F102" s="2"/>
      <c r="G102" s="3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2:20" ht="14" thickTop="1" thickBot="1" x14ac:dyDescent="0.35">
      <c r="B103" s="2"/>
      <c r="C103" s="2"/>
      <c r="D103" s="3"/>
      <c r="E103" s="2"/>
      <c r="F103" s="2"/>
      <c r="G103" s="3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2:20" ht="14.5" thickTop="1" x14ac:dyDescent="0.3">
      <c r="B104" s="2"/>
      <c r="C104" s="21" t="s">
        <v>53</v>
      </c>
      <c r="D104" s="206">
        <f>E158/E104</f>
        <v>1</v>
      </c>
      <c r="E104" s="207">
        <f>+E158</f>
        <v>15306.122448979591</v>
      </c>
      <c r="F104" s="22"/>
      <c r="G104" s="3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2:20" ht="13" x14ac:dyDescent="0.3">
      <c r="B105" s="2"/>
      <c r="C105" s="24" t="s">
        <v>15</v>
      </c>
      <c r="D105" s="22" t="s">
        <v>5</v>
      </c>
      <c r="E105" s="25">
        <f>+Flat!F18%</f>
        <v>0.98</v>
      </c>
      <c r="F105" s="26"/>
      <c r="G105" s="3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2:20" ht="13" x14ac:dyDescent="0.3">
      <c r="B106" s="2"/>
      <c r="C106" s="29" t="s">
        <v>54</v>
      </c>
      <c r="D106" s="22" t="s">
        <v>14</v>
      </c>
      <c r="E106" s="30">
        <f>E104/E105</f>
        <v>15618.492294877135</v>
      </c>
      <c r="F106" s="22"/>
      <c r="G106" s="3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2:20" ht="24" customHeight="1" thickBot="1" x14ac:dyDescent="0.35">
      <c r="B107" s="2"/>
      <c r="C107" s="2"/>
      <c r="D107" s="3"/>
      <c r="E107" s="2"/>
      <c r="F107" s="2"/>
      <c r="G107" s="3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2:20" ht="14.5" thickTop="1" x14ac:dyDescent="0.3">
      <c r="B108" s="2"/>
      <c r="C108" s="31" t="s">
        <v>17</v>
      </c>
      <c r="D108" s="3"/>
      <c r="E108" s="2"/>
      <c r="F108" s="2"/>
      <c r="G108" s="3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2:20" ht="13" x14ac:dyDescent="0.3">
      <c r="B109" s="2"/>
      <c r="C109" s="24" t="s">
        <v>56</v>
      </c>
      <c r="D109" s="208">
        <v>-2.6319847269065588E-3</v>
      </c>
      <c r="E109" s="39">
        <f>+D109*E106</f>
        <v>-41.10763317742439</v>
      </c>
      <c r="F109" s="34"/>
      <c r="G109" s="3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2:20" thickBot="1" x14ac:dyDescent="0.35">
      <c r="B110" s="2"/>
      <c r="C110" s="24"/>
      <c r="D110" s="3"/>
      <c r="E110" s="209"/>
      <c r="F110" s="34"/>
      <c r="G110" s="3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2:20" thickTop="1" x14ac:dyDescent="0.3">
      <c r="B111" s="2"/>
      <c r="C111" s="24" t="s">
        <v>24</v>
      </c>
      <c r="D111" s="3" t="s">
        <v>25</v>
      </c>
      <c r="E111" s="50">
        <v>3.0214385742401151E-3</v>
      </c>
      <c r="F111" s="56"/>
      <c r="G111" s="3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2:20" ht="13" x14ac:dyDescent="0.3">
      <c r="B112" s="2"/>
      <c r="C112" s="42" t="s">
        <v>26</v>
      </c>
      <c r="D112" s="22" t="s">
        <v>25</v>
      </c>
      <c r="E112" s="53">
        <v>1.8375495925978551</v>
      </c>
      <c r="F112" s="210"/>
      <c r="G112" s="34"/>
      <c r="H112" s="2"/>
      <c r="I112" s="3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2:20" thickBot="1" x14ac:dyDescent="0.35">
      <c r="B113" s="2"/>
      <c r="C113" s="24"/>
      <c r="D113" s="3"/>
      <c r="E113" s="56"/>
      <c r="F113" s="56"/>
      <c r="G113" s="3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2:20" thickTop="1" x14ac:dyDescent="0.3">
      <c r="B114" s="2"/>
      <c r="C114" s="24" t="s">
        <v>29</v>
      </c>
      <c r="D114" s="3" t="s">
        <v>30</v>
      </c>
      <c r="E114" s="50">
        <v>5.3838798137343549</v>
      </c>
      <c r="F114" s="56"/>
      <c r="G114" s="3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2:20" ht="13" x14ac:dyDescent="0.3">
      <c r="B115" s="2"/>
      <c r="C115" s="24" t="s">
        <v>31</v>
      </c>
      <c r="D115" s="3" t="s">
        <v>32</v>
      </c>
      <c r="E115" s="51">
        <v>6.7045074511265046</v>
      </c>
      <c r="F115" s="56"/>
      <c r="G115" s="3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2:20" ht="13" x14ac:dyDescent="0.3">
      <c r="B116" s="2"/>
      <c r="C116" s="24" t="s">
        <v>33</v>
      </c>
      <c r="D116" s="3" t="s">
        <v>34</v>
      </c>
      <c r="E116" s="51">
        <v>0.49838629282090652</v>
      </c>
      <c r="F116" s="56"/>
      <c r="G116" s="3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2:20" ht="13" x14ac:dyDescent="0.3">
      <c r="B117" s="2"/>
      <c r="C117" s="24" t="s">
        <v>35</v>
      </c>
      <c r="D117" s="3" t="s">
        <v>32</v>
      </c>
      <c r="E117" s="51">
        <v>3.4813015252394575</v>
      </c>
      <c r="F117" s="56"/>
      <c r="G117" s="3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2:20" ht="13" x14ac:dyDescent="0.3">
      <c r="B118" s="2"/>
      <c r="C118" s="24" t="s">
        <v>36</v>
      </c>
      <c r="D118" s="3" t="s">
        <v>32</v>
      </c>
      <c r="E118" s="51">
        <v>0</v>
      </c>
      <c r="F118" s="56"/>
      <c r="G118" s="3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2:20" ht="13" x14ac:dyDescent="0.3">
      <c r="B119" s="2"/>
      <c r="C119" s="29" t="s">
        <v>37</v>
      </c>
      <c r="D119" s="22" t="s">
        <v>32</v>
      </c>
      <c r="E119" s="53">
        <v>7.1219623535659794E-4</v>
      </c>
      <c r="F119" s="210"/>
      <c r="G119" s="3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2:20" ht="9" customHeight="1" thickBot="1" x14ac:dyDescent="0.35">
      <c r="B120" s="2"/>
      <c r="C120" s="2"/>
      <c r="D120" s="3"/>
      <c r="E120" s="34"/>
      <c r="F120" s="34"/>
      <c r="G120" s="3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2:20" ht="15" thickTop="1" thickBot="1" x14ac:dyDescent="0.35">
      <c r="B121" s="2"/>
      <c r="C121" s="31" t="s">
        <v>40</v>
      </c>
      <c r="D121" s="3"/>
      <c r="E121" s="34"/>
      <c r="F121" s="34"/>
      <c r="G121" s="3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2:20" thickTop="1" x14ac:dyDescent="0.3">
      <c r="B122" s="2"/>
      <c r="C122" s="24" t="s">
        <v>57</v>
      </c>
      <c r="D122" s="3" t="s">
        <v>41</v>
      </c>
      <c r="E122" s="23">
        <f>+E100</f>
        <v>456.15722655727558</v>
      </c>
      <c r="F122" s="34"/>
      <c r="G122" s="3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2:20" ht="8.25" customHeight="1" x14ac:dyDescent="0.3">
      <c r="B123" s="2"/>
      <c r="C123" s="24"/>
      <c r="D123" s="3"/>
      <c r="E123" s="19"/>
      <c r="F123" s="34"/>
      <c r="G123" s="3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2:20" ht="13" x14ac:dyDescent="0.3">
      <c r="B124" s="2"/>
      <c r="C124" s="24" t="s">
        <v>56</v>
      </c>
      <c r="D124" s="3" t="s">
        <v>41</v>
      </c>
      <c r="E124" s="39">
        <v>350.28906472110947</v>
      </c>
      <c r="F124" s="40"/>
      <c r="G124" s="3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2:20" ht="10.5" customHeight="1" thickBot="1" x14ac:dyDescent="0.35">
      <c r="B125" s="2"/>
      <c r="C125" s="24"/>
      <c r="D125" s="3"/>
      <c r="E125" s="211"/>
      <c r="F125" s="40"/>
      <c r="G125" s="3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2:20" thickTop="1" x14ac:dyDescent="0.3">
      <c r="B126" s="2"/>
      <c r="C126" s="24" t="s">
        <v>24</v>
      </c>
      <c r="D126" s="3" t="s">
        <v>43</v>
      </c>
      <c r="E126" s="84">
        <v>559.92857142856997</v>
      </c>
      <c r="F126" s="85"/>
      <c r="G126" s="3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2:20" ht="13" x14ac:dyDescent="0.3">
      <c r="B127" s="2"/>
      <c r="C127" s="42" t="s">
        <v>26</v>
      </c>
      <c r="D127" s="3" t="s">
        <v>43</v>
      </c>
      <c r="E127" s="86">
        <v>854.39200145085033</v>
      </c>
      <c r="F127" s="85"/>
      <c r="G127" s="3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2:20" ht="9" customHeight="1" thickBot="1" x14ac:dyDescent="0.35">
      <c r="B128" s="2"/>
      <c r="C128" s="55"/>
      <c r="D128" s="3"/>
      <c r="E128" s="85"/>
      <c r="F128" s="85"/>
      <c r="G128" s="3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2:20" thickTop="1" x14ac:dyDescent="0.3">
      <c r="B129" s="2"/>
      <c r="C129" s="24" t="s">
        <v>29</v>
      </c>
      <c r="D129" s="22" t="s">
        <v>44</v>
      </c>
      <c r="E129" s="57">
        <f>+E62</f>
        <v>7.0000000000000007E-2</v>
      </c>
      <c r="F129" s="212"/>
      <c r="G129" s="3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2:20" ht="13" x14ac:dyDescent="0.3">
      <c r="B130" s="2"/>
      <c r="C130" s="24" t="s">
        <v>31</v>
      </c>
      <c r="D130" s="22" t="s">
        <v>45</v>
      </c>
      <c r="E130" s="59">
        <v>0.25072464212651396</v>
      </c>
      <c r="F130" s="212"/>
      <c r="G130" s="3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2:20" ht="13" x14ac:dyDescent="0.3">
      <c r="B131" s="2"/>
      <c r="C131" s="24" t="s">
        <v>33</v>
      </c>
      <c r="D131" s="22" t="s">
        <v>46</v>
      </c>
      <c r="E131" s="213">
        <v>0.27163955106549381</v>
      </c>
      <c r="F131" s="85"/>
      <c r="G131" s="3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2:20" ht="13" x14ac:dyDescent="0.3">
      <c r="B132" s="2"/>
      <c r="C132" s="24" t="s">
        <v>35</v>
      </c>
      <c r="D132" s="22" t="s">
        <v>45</v>
      </c>
      <c r="E132" s="213">
        <v>0.17166474630834158</v>
      </c>
      <c r="F132" s="85"/>
      <c r="G132" s="3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2:20" ht="13" x14ac:dyDescent="0.3">
      <c r="B133" s="2"/>
      <c r="C133" s="24" t="s">
        <v>36</v>
      </c>
      <c r="D133" s="22" t="s">
        <v>45</v>
      </c>
      <c r="E133" s="213">
        <v>0</v>
      </c>
      <c r="F133" s="85"/>
      <c r="G133" s="3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2:20" ht="13" x14ac:dyDescent="0.3">
      <c r="B134" s="2"/>
      <c r="C134" s="24" t="s">
        <v>37</v>
      </c>
      <c r="D134" s="3" t="s">
        <v>45</v>
      </c>
      <c r="E134" s="86">
        <v>1.9283673168637039</v>
      </c>
      <c r="F134" s="85"/>
      <c r="G134" s="3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2:20" ht="15" customHeight="1" thickBot="1" x14ac:dyDescent="0.35">
      <c r="B135" s="2"/>
      <c r="C135" s="2"/>
      <c r="D135" s="3"/>
      <c r="E135" s="34"/>
      <c r="F135" s="34"/>
      <c r="G135" s="3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2:20" ht="15" thickTop="1" thickBot="1" x14ac:dyDescent="0.35">
      <c r="B136" s="2"/>
      <c r="C136" s="31" t="s">
        <v>47</v>
      </c>
      <c r="D136" s="3"/>
      <c r="E136" s="34"/>
      <c r="F136" s="34"/>
      <c r="G136" s="3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2:20" thickTop="1" x14ac:dyDescent="0.3">
      <c r="B137" s="2"/>
      <c r="C137" s="24" t="s">
        <v>57</v>
      </c>
      <c r="D137" s="3" t="s">
        <v>41</v>
      </c>
      <c r="E137" s="214">
        <f>E122*E106/E104</f>
        <v>465.46655771150574</v>
      </c>
      <c r="F137" s="34"/>
      <c r="G137" s="3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2:20" ht="8.25" customHeight="1" x14ac:dyDescent="0.3">
      <c r="B138" s="2"/>
      <c r="C138" s="24"/>
      <c r="D138" s="3"/>
      <c r="E138" s="19"/>
      <c r="F138" s="34"/>
      <c r="G138" s="3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2:20" ht="13" x14ac:dyDescent="0.3">
      <c r="B139" s="2"/>
      <c r="C139" s="24" t="s">
        <v>56</v>
      </c>
      <c r="D139" s="3" t="s">
        <v>41</v>
      </c>
      <c r="E139" s="216">
        <f>E109*E124/E$104</f>
        <v>-0.94077088606973802</v>
      </c>
      <c r="F139" s="215"/>
      <c r="G139" s="3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2:20" thickBot="1" x14ac:dyDescent="0.35">
      <c r="B140" s="2"/>
      <c r="C140" s="24"/>
      <c r="D140" s="3"/>
      <c r="E140" s="209"/>
      <c r="F140" s="34"/>
      <c r="G140" s="3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2:20" thickTop="1" x14ac:dyDescent="0.3">
      <c r="B141" s="2"/>
      <c r="C141" s="24" t="s">
        <v>24</v>
      </c>
      <c r="D141" s="3" t="s">
        <v>41</v>
      </c>
      <c r="E141" s="220">
        <f>E126*E111/1000</f>
        <v>1.691789784533443E-3</v>
      </c>
      <c r="F141" s="34"/>
      <c r="G141" s="3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2:20" ht="13" x14ac:dyDescent="0.3">
      <c r="B142" s="2"/>
      <c r="C142" s="24" t="s">
        <v>26</v>
      </c>
      <c r="D142" s="3" t="s">
        <v>41</v>
      </c>
      <c r="E142" s="217">
        <f>E127*E112/1000</f>
        <v>1.5699876741848762</v>
      </c>
      <c r="F142" s="34"/>
      <c r="G142" s="3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2:20" ht="14.5" thickBot="1" x14ac:dyDescent="0.35">
      <c r="B143" s="2"/>
      <c r="C143" s="55"/>
      <c r="D143" s="3"/>
      <c r="E143" s="34"/>
      <c r="F143" s="34"/>
      <c r="G143" s="3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2:20" thickTop="1" x14ac:dyDescent="0.3">
      <c r="B144" s="2"/>
      <c r="C144" s="24" t="s">
        <v>29</v>
      </c>
      <c r="D144" s="22" t="s">
        <v>44</v>
      </c>
      <c r="E144" s="58">
        <f t="shared" ref="E144:E149" si="1">E129*E114</f>
        <v>0.37687158696140488</v>
      </c>
      <c r="F144" s="34"/>
      <c r="G144" s="3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2:20" ht="13" x14ac:dyDescent="0.3">
      <c r="B145" s="2"/>
      <c r="C145" s="24" t="s">
        <v>31</v>
      </c>
      <c r="D145" s="22" t="s">
        <v>45</v>
      </c>
      <c r="E145" s="37">
        <f t="shared" si="1"/>
        <v>1.6809852313182392</v>
      </c>
      <c r="F145" s="34"/>
      <c r="G145" s="3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2:20" ht="13" x14ac:dyDescent="0.3">
      <c r="B146" s="2"/>
      <c r="C146" s="24" t="s">
        <v>33</v>
      </c>
      <c r="D146" s="22" t="s">
        <v>46</v>
      </c>
      <c r="E146" s="37">
        <f t="shared" si="1"/>
        <v>0.13538142883906679</v>
      </c>
      <c r="F146" s="34"/>
      <c r="G146" s="3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2:20" ht="13" x14ac:dyDescent="0.3">
      <c r="B147" s="2"/>
      <c r="C147" s="24" t="s">
        <v>35</v>
      </c>
      <c r="D147" s="22" t="s">
        <v>45</v>
      </c>
      <c r="E147" s="37">
        <f t="shared" si="1"/>
        <v>0.59761674315307411</v>
      </c>
      <c r="F147" s="34"/>
      <c r="G147" s="3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2:20" ht="13" x14ac:dyDescent="0.3">
      <c r="B148" s="2"/>
      <c r="C148" s="24" t="s">
        <v>36</v>
      </c>
      <c r="D148" s="22" t="s">
        <v>45</v>
      </c>
      <c r="E148" s="37">
        <f t="shared" si="1"/>
        <v>0</v>
      </c>
      <c r="F148" s="34"/>
      <c r="G148" s="3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2:20" ht="13" x14ac:dyDescent="0.3">
      <c r="B149" s="2"/>
      <c r="C149" s="24" t="s">
        <v>37</v>
      </c>
      <c r="D149" s="22" t="s">
        <v>45</v>
      </c>
      <c r="E149" s="61">
        <f t="shared" si="1"/>
        <v>1.3733759434550337E-3</v>
      </c>
      <c r="F149" s="34"/>
      <c r="G149" s="236">
        <f>H94/E104</f>
        <v>158.5782983381151</v>
      </c>
      <c r="H149" s="62">
        <f>G149+SUM(E141:E149)</f>
        <v>162.94220616829975</v>
      </c>
      <c r="I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2:20" ht="13" x14ac:dyDescent="0.3">
      <c r="B150" s="2"/>
      <c r="C150" s="75" t="s">
        <v>58</v>
      </c>
      <c r="D150" s="76" t="s">
        <v>41</v>
      </c>
      <c r="E150" s="218">
        <f>((1/E105)-1)*E122</f>
        <v>9.309331154230124</v>
      </c>
      <c r="F150" s="218"/>
      <c r="G150" s="3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2:20" thickBot="1" x14ac:dyDescent="0.35">
      <c r="B151" s="2"/>
      <c r="C151" s="78" t="s">
        <v>59</v>
      </c>
      <c r="D151" s="79" t="s">
        <v>41</v>
      </c>
      <c r="E151" s="219">
        <f>SUM(E139:E150)</f>
        <v>12.732468098345036</v>
      </c>
      <c r="F151" s="219"/>
      <c r="G151" s="3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2:20" ht="14.5" thickTop="1" x14ac:dyDescent="0.3">
      <c r="B152" s="2"/>
      <c r="C152" s="9" t="s">
        <v>91</v>
      </c>
      <c r="D152" s="3" t="s">
        <v>41</v>
      </c>
      <c r="E152" s="82">
        <f>SUM(E137:E139)+SUM(E141:E142)+SUM(E144:E149)</f>
        <v>468.88969465562064</v>
      </c>
      <c r="F152" s="62"/>
      <c r="G152" s="3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2:20" thickBot="1" x14ac:dyDescent="0.35">
      <c r="B153" s="2"/>
      <c r="C153" s="2"/>
      <c r="D153" s="22"/>
      <c r="E153" s="83"/>
      <c r="F153" s="2"/>
      <c r="G153" s="3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2:20" thickBot="1" x14ac:dyDescent="0.35">
      <c r="B154" s="2"/>
      <c r="C154" s="7" t="s">
        <v>283</v>
      </c>
      <c r="D154" s="3"/>
      <c r="E154" s="2"/>
      <c r="F154" s="2"/>
      <c r="G154" s="3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2:20" ht="14" thickTop="1" thickBot="1" x14ac:dyDescent="0.35">
      <c r="B155" s="2"/>
      <c r="C155" s="2"/>
      <c r="D155" s="3"/>
      <c r="E155" s="2"/>
      <c r="F155" s="2"/>
      <c r="G155" s="3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2:20" ht="14.5" thickTop="1" x14ac:dyDescent="0.3">
      <c r="B156" s="2"/>
      <c r="C156" s="21" t="s">
        <v>92</v>
      </c>
      <c r="D156" s="22" t="s">
        <v>14</v>
      </c>
      <c r="E156" s="23">
        <f>E10</f>
        <v>15000</v>
      </c>
      <c r="F156" s="13"/>
      <c r="G156" s="3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2:20" ht="13" x14ac:dyDescent="0.3">
      <c r="B157" s="2"/>
      <c r="C157" s="24" t="s">
        <v>15</v>
      </c>
      <c r="D157" s="22" t="s">
        <v>5</v>
      </c>
      <c r="E157" s="25">
        <f>+Flat!F19%</f>
        <v>0.98</v>
      </c>
      <c r="F157" s="26"/>
      <c r="G157" s="3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2:20" ht="13" x14ac:dyDescent="0.3">
      <c r="B158" s="2"/>
      <c r="C158" s="24" t="s">
        <v>276</v>
      </c>
      <c r="D158" s="16">
        <v>1</v>
      </c>
      <c r="E158" s="43">
        <f>E156/E157*D158</f>
        <v>15306.122448979591</v>
      </c>
      <c r="F158" s="83"/>
      <c r="G158" s="34"/>
      <c r="H158" s="1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2:20" ht="13" x14ac:dyDescent="0.3">
      <c r="B159" s="2"/>
      <c r="C159" s="24" t="s">
        <v>136</v>
      </c>
      <c r="D159" s="16">
        <v>0</v>
      </c>
      <c r="E159" s="43">
        <f>E156/E157*D159</f>
        <v>0</v>
      </c>
      <c r="F159" s="83"/>
      <c r="G159" s="34"/>
      <c r="H159" s="1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2:20" ht="13" x14ac:dyDescent="0.3">
      <c r="B160" s="2"/>
      <c r="C160" s="29" t="s">
        <v>62</v>
      </c>
      <c r="D160" s="16">
        <v>0</v>
      </c>
      <c r="E160" s="43">
        <f>E156/E157*D160</f>
        <v>0</v>
      </c>
      <c r="F160" s="22"/>
      <c r="G160" s="34"/>
      <c r="H160" s="1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2:20" ht="13.5" customHeight="1" thickBot="1" x14ac:dyDescent="0.35">
      <c r="B161" s="2"/>
      <c r="C161" s="2"/>
      <c r="D161" s="3"/>
      <c r="E161" s="34"/>
      <c r="F161" s="2"/>
      <c r="G161" s="3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2:20" ht="15" thickTop="1" thickBot="1" x14ac:dyDescent="0.35">
      <c r="B162" s="2"/>
      <c r="C162" s="31" t="s">
        <v>17</v>
      </c>
      <c r="D162" s="3"/>
      <c r="E162" s="2"/>
      <c r="F162" s="2"/>
      <c r="G162" s="3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2:20" ht="15" customHeight="1" thickTop="1" x14ac:dyDescent="0.3">
      <c r="B163" s="2"/>
      <c r="C163" s="24" t="s">
        <v>55</v>
      </c>
      <c r="D163" s="87">
        <v>-4.2967182485459401E-2</v>
      </c>
      <c r="E163" s="33">
        <f>D163*E158</f>
        <v>-657.66095641009281</v>
      </c>
      <c r="F163" s="2"/>
      <c r="G163" s="3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2:20" thickBot="1" x14ac:dyDescent="0.35">
      <c r="B164" s="2"/>
      <c r="C164" s="24"/>
      <c r="D164" s="3"/>
      <c r="F164" s="2"/>
      <c r="G164" s="3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2:20" thickTop="1" x14ac:dyDescent="0.3">
      <c r="B165" s="2"/>
      <c r="C165" s="24" t="s">
        <v>26</v>
      </c>
      <c r="D165" s="22" t="s">
        <v>25</v>
      </c>
      <c r="E165" s="88">
        <v>0.71842457772211932</v>
      </c>
      <c r="F165" s="26"/>
      <c r="G165" s="3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2:20" thickBot="1" x14ac:dyDescent="0.35">
      <c r="B166" s="2"/>
      <c r="C166" s="24"/>
      <c r="D166" s="3"/>
      <c r="E166" s="46"/>
      <c r="F166" s="15"/>
      <c r="G166" s="3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2:20" thickTop="1" x14ac:dyDescent="0.3">
      <c r="B167" s="2"/>
      <c r="C167" s="24" t="s">
        <v>29</v>
      </c>
      <c r="D167" s="3" t="s">
        <v>30</v>
      </c>
      <c r="E167" s="47">
        <v>99.812222498274608</v>
      </c>
      <c r="F167" s="15"/>
      <c r="G167" s="3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2:20" ht="13" x14ac:dyDescent="0.3">
      <c r="B168" s="2"/>
      <c r="C168" s="24" t="s">
        <v>31</v>
      </c>
      <c r="D168" s="3" t="s">
        <v>32</v>
      </c>
      <c r="E168" s="43">
        <v>31.718429055837788</v>
      </c>
      <c r="F168" s="15"/>
      <c r="G168" s="3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2:20" ht="13" x14ac:dyDescent="0.3">
      <c r="B169" s="2"/>
      <c r="C169" s="24" t="s">
        <v>33</v>
      </c>
      <c r="D169" s="3" t="s">
        <v>34</v>
      </c>
      <c r="E169" s="45">
        <v>0.45277120002152066</v>
      </c>
      <c r="F169" s="15"/>
      <c r="G169" s="3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2:20" thickBot="1" x14ac:dyDescent="0.35">
      <c r="B170" s="2"/>
      <c r="C170" s="24"/>
      <c r="D170" s="3"/>
      <c r="E170" s="89"/>
      <c r="F170" s="15"/>
      <c r="G170" s="3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2:20" thickTop="1" x14ac:dyDescent="0.3">
      <c r="B171" s="2"/>
      <c r="C171" s="29" t="s">
        <v>64</v>
      </c>
      <c r="D171" s="3" t="s">
        <v>63</v>
      </c>
      <c r="E171" s="91">
        <v>1</v>
      </c>
      <c r="F171" s="15"/>
      <c r="G171" s="3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2:20" ht="24" customHeight="1" thickBot="1" x14ac:dyDescent="0.35">
      <c r="B172" s="2"/>
      <c r="C172" s="2"/>
      <c r="D172" s="3"/>
      <c r="E172" s="2"/>
      <c r="F172" s="2"/>
      <c r="G172" s="3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2:20" ht="15" thickTop="1" thickBot="1" x14ac:dyDescent="0.35">
      <c r="B173" s="2"/>
      <c r="C173" s="31" t="s">
        <v>40</v>
      </c>
      <c r="D173" s="3"/>
      <c r="E173" s="2"/>
      <c r="F173" s="2"/>
      <c r="G173" s="3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2:20" thickTop="1" x14ac:dyDescent="0.3">
      <c r="B174" s="2"/>
      <c r="C174" s="24" t="s">
        <v>90</v>
      </c>
      <c r="D174" s="3" t="s">
        <v>41</v>
      </c>
      <c r="E174" s="23">
        <f>+E152</f>
        <v>468.88969465562064</v>
      </c>
      <c r="F174" s="2"/>
      <c r="G174" s="3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2:20" ht="13" x14ac:dyDescent="0.3">
      <c r="B175" s="2"/>
      <c r="C175" s="24" t="s">
        <v>192</v>
      </c>
      <c r="D175" s="3" t="s">
        <v>41</v>
      </c>
      <c r="E175" s="19">
        <v>0</v>
      </c>
      <c r="F175" s="2"/>
      <c r="G175" s="3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2:20" ht="13" x14ac:dyDescent="0.3">
      <c r="B176" s="2"/>
      <c r="C176" s="24" t="s">
        <v>66</v>
      </c>
      <c r="D176" s="3" t="s">
        <v>41</v>
      </c>
      <c r="E176" s="35">
        <v>0</v>
      </c>
      <c r="F176" s="2"/>
      <c r="G176" s="3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2:20" ht="8.25" customHeight="1" x14ac:dyDescent="0.3">
      <c r="B177" s="2"/>
      <c r="C177" s="24"/>
      <c r="D177" s="3"/>
      <c r="E177" s="52"/>
      <c r="F177" s="2"/>
      <c r="G177" s="3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2:20" ht="14.25" customHeight="1" x14ac:dyDescent="0.3">
      <c r="B178" s="2"/>
      <c r="C178" s="24" t="s">
        <v>55</v>
      </c>
      <c r="D178" s="3" t="s">
        <v>41</v>
      </c>
      <c r="E178" s="90">
        <v>350.58053911488503</v>
      </c>
      <c r="F178" s="15"/>
      <c r="G178" s="3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2:20" ht="10.5" customHeight="1" thickBot="1" x14ac:dyDescent="0.35">
      <c r="B179" s="2"/>
      <c r="C179" s="24"/>
      <c r="D179" s="3"/>
      <c r="E179" s="92"/>
      <c r="F179" s="15"/>
      <c r="G179" s="3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2:20" thickTop="1" x14ac:dyDescent="0.3">
      <c r="B180" s="2"/>
      <c r="C180" s="24" t="s">
        <v>26</v>
      </c>
      <c r="D180" s="3" t="s">
        <v>43</v>
      </c>
      <c r="E180" s="94">
        <v>1192.1342716711349</v>
      </c>
      <c r="F180" s="15"/>
      <c r="G180" s="3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2:20" ht="9" customHeight="1" thickBot="1" x14ac:dyDescent="0.35">
      <c r="B181" s="2"/>
      <c r="C181" s="55"/>
      <c r="D181" s="3"/>
      <c r="E181" s="15"/>
      <c r="F181" s="15"/>
      <c r="G181" s="3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2:20" thickTop="1" x14ac:dyDescent="0.3">
      <c r="B182" s="2"/>
      <c r="C182" s="24" t="s">
        <v>29</v>
      </c>
      <c r="D182" s="22" t="s">
        <v>44</v>
      </c>
      <c r="E182" s="57">
        <f>+E129</f>
        <v>7.0000000000000007E-2</v>
      </c>
      <c r="F182" s="15"/>
      <c r="G182" s="3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2:20" ht="13" x14ac:dyDescent="0.3">
      <c r="B183" s="2"/>
      <c r="C183" s="24" t="s">
        <v>31</v>
      </c>
      <c r="D183" s="22" t="s">
        <v>45</v>
      </c>
      <c r="E183" s="51">
        <f>+E130</f>
        <v>0.25072464212651396</v>
      </c>
      <c r="F183" s="15"/>
      <c r="G183" s="3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2:20" ht="13" x14ac:dyDescent="0.3">
      <c r="B184" s="2"/>
      <c r="C184" s="24" t="s">
        <v>33</v>
      </c>
      <c r="D184" s="22" t="s">
        <v>46</v>
      </c>
      <c r="E184" s="53">
        <f>+E131</f>
        <v>0.27163955106549381</v>
      </c>
      <c r="F184" s="15"/>
      <c r="G184" s="3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2:20" thickBot="1" x14ac:dyDescent="0.35">
      <c r="B185" s="2"/>
      <c r="C185" s="24"/>
      <c r="D185" s="3"/>
      <c r="E185" s="89"/>
      <c r="F185" s="15"/>
      <c r="G185" s="3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2:20" thickTop="1" x14ac:dyDescent="0.3">
      <c r="B186" s="2"/>
      <c r="C186" s="29" t="s">
        <v>67</v>
      </c>
      <c r="D186" s="3" t="s">
        <v>41</v>
      </c>
      <c r="E186" s="45">
        <v>0.23422318331098854</v>
      </c>
      <c r="F186" s="15"/>
      <c r="G186" s="3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2:20" ht="13.5" customHeight="1" thickBot="1" x14ac:dyDescent="0.35">
      <c r="B187" s="2"/>
      <c r="C187" s="2"/>
      <c r="D187" s="3"/>
      <c r="E187" s="2"/>
      <c r="F187" s="2"/>
      <c r="G187" s="3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2:20" ht="15" thickTop="1" thickBot="1" x14ac:dyDescent="0.35">
      <c r="B188" s="2"/>
      <c r="C188" s="31" t="s">
        <v>47</v>
      </c>
      <c r="D188" s="3"/>
      <c r="E188" s="2"/>
      <c r="F188" s="2"/>
      <c r="G188" s="3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2:20" thickTop="1" x14ac:dyDescent="0.3">
      <c r="B189" s="2"/>
      <c r="C189" s="24" t="s">
        <v>53</v>
      </c>
      <c r="D189" s="3" t="s">
        <v>41</v>
      </c>
      <c r="E189" s="95">
        <f>E174*E158/E156</f>
        <v>478.45887209757205</v>
      </c>
      <c r="F189" s="2"/>
      <c r="G189" s="3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2:20" ht="13" x14ac:dyDescent="0.3">
      <c r="B190" s="2"/>
      <c r="C190" s="24" t="s">
        <v>192</v>
      </c>
      <c r="D190" s="3" t="s">
        <v>41</v>
      </c>
      <c r="E190" s="96">
        <f>E175*E159/E156</f>
        <v>0</v>
      </c>
      <c r="F190" s="2"/>
      <c r="G190" s="3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2:20" ht="13" x14ac:dyDescent="0.3">
      <c r="B191" s="2"/>
      <c r="C191" s="24" t="s">
        <v>62</v>
      </c>
      <c r="D191" s="3" t="s">
        <v>41</v>
      </c>
      <c r="E191" s="96">
        <f>E160*E176/E156</f>
        <v>0</v>
      </c>
      <c r="F191" s="2"/>
      <c r="G191" s="3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2:20" ht="8.25" customHeight="1" x14ac:dyDescent="0.3">
      <c r="B192" s="2"/>
      <c r="C192" s="24"/>
      <c r="D192" s="3"/>
      <c r="E192" s="96"/>
      <c r="F192" s="2"/>
      <c r="G192" s="3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2:20" ht="12.75" customHeight="1" x14ac:dyDescent="0.3">
      <c r="B193" s="2"/>
      <c r="C193" s="24" t="s">
        <v>55</v>
      </c>
      <c r="D193" s="3" t="s">
        <v>41</v>
      </c>
      <c r="E193" s="96">
        <f>E163*E178/E$156</f>
        <v>-15.370875510204083</v>
      </c>
      <c r="F193" s="2"/>
      <c r="G193" s="3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2:20" thickBot="1" x14ac:dyDescent="0.35">
      <c r="B194" s="2"/>
      <c r="C194" s="24"/>
      <c r="D194" s="3"/>
      <c r="E194" s="54"/>
      <c r="F194" s="2"/>
      <c r="G194" s="3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2:20" thickTop="1" x14ac:dyDescent="0.3">
      <c r="B195" s="2"/>
      <c r="C195" s="24" t="s">
        <v>26</v>
      </c>
      <c r="D195" s="3" t="s">
        <v>41</v>
      </c>
      <c r="E195" s="98">
        <f>E180*E165/1000</f>
        <v>0.85645856071340132</v>
      </c>
      <c r="F195" s="2"/>
      <c r="G195" s="3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2:20" ht="14.5" thickBot="1" x14ac:dyDescent="0.35">
      <c r="B196" s="2"/>
      <c r="C196" s="55"/>
      <c r="D196" s="3"/>
      <c r="E196" s="62"/>
      <c r="F196" s="2"/>
      <c r="G196" s="3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2:20" thickTop="1" x14ac:dyDescent="0.3">
      <c r="B197" s="2"/>
      <c r="C197" s="24" t="s">
        <v>29</v>
      </c>
      <c r="D197" s="22" t="s">
        <v>44</v>
      </c>
      <c r="E197" s="95">
        <f>E182*E167</f>
        <v>6.9868555748792236</v>
      </c>
      <c r="F197" s="2"/>
      <c r="G197" s="3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2:20" ht="13" x14ac:dyDescent="0.3">
      <c r="B198" s="2"/>
      <c r="C198" s="24" t="s">
        <v>31</v>
      </c>
      <c r="D198" s="22" t="s">
        <v>45</v>
      </c>
      <c r="E198" s="96">
        <f>E183*E168</f>
        <v>7.9525917738401519</v>
      </c>
      <c r="F198" s="2"/>
      <c r="G198" s="3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2:20" ht="13" x14ac:dyDescent="0.3">
      <c r="B199" s="2"/>
      <c r="C199" s="24" t="s">
        <v>33</v>
      </c>
      <c r="D199" s="22" t="s">
        <v>46</v>
      </c>
      <c r="E199" s="97">
        <f>E184*E169</f>
        <v>0.12299056550923078</v>
      </c>
      <c r="F199" s="2"/>
      <c r="G199" s="3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2:20" thickBot="1" x14ac:dyDescent="0.35">
      <c r="B200" s="2"/>
      <c r="C200" s="24"/>
      <c r="D200" s="3"/>
      <c r="E200" s="99"/>
      <c r="F200" s="2"/>
      <c r="G200" s="3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2:20" thickTop="1" x14ac:dyDescent="0.3">
      <c r="B201" s="2"/>
      <c r="C201" s="29" t="s">
        <v>67</v>
      </c>
      <c r="D201" s="3" t="s">
        <v>41</v>
      </c>
      <c r="E201" s="249">
        <f>E186*E171</f>
        <v>0.23422318331098854</v>
      </c>
      <c r="F201" s="2"/>
      <c r="G201" s="3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2:20" ht="13" x14ac:dyDescent="0.3">
      <c r="B202" s="2"/>
      <c r="C202" s="100" t="s">
        <v>68</v>
      </c>
      <c r="D202" s="76" t="s">
        <v>41</v>
      </c>
      <c r="E202" s="101">
        <f>((1/E157)-1)*$D$158*E174</f>
        <v>9.569177441951453</v>
      </c>
      <c r="F202" s="101"/>
      <c r="G202" s="3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2:20" ht="13" x14ac:dyDescent="0.3">
      <c r="B203" s="2"/>
      <c r="C203" s="100" t="s">
        <v>69</v>
      </c>
      <c r="D203" s="76" t="s">
        <v>41</v>
      </c>
      <c r="E203" s="101">
        <f>((1/E157)-1)*$D$160*E176</f>
        <v>0</v>
      </c>
      <c r="F203" s="101"/>
      <c r="G203" s="3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2:20" thickBot="1" x14ac:dyDescent="0.35">
      <c r="B204" s="2"/>
      <c r="C204" s="78" t="s">
        <v>70</v>
      </c>
      <c r="D204" s="79" t="s">
        <v>41</v>
      </c>
      <c r="E204" s="102">
        <f>SUM(E193:E203)</f>
        <v>10.351421590000365</v>
      </c>
      <c r="F204" s="102"/>
      <c r="G204" s="3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2:20" ht="14.5" thickTop="1" x14ac:dyDescent="0.3">
      <c r="B205" s="2"/>
      <c r="C205" s="21" t="s">
        <v>71</v>
      </c>
      <c r="D205" s="22" t="s">
        <v>41</v>
      </c>
      <c r="E205" s="64">
        <f>SUM(E189:E193)+SUM(E195:E195)+SUM(E197:E199)+SUM(E201:E201)</f>
        <v>479.24111624562096</v>
      </c>
      <c r="F205" s="103"/>
      <c r="G205" s="34"/>
      <c r="H205" s="7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2:20" ht="13" x14ac:dyDescent="0.3">
      <c r="B206" s="2"/>
      <c r="C206" s="29" t="s">
        <v>72</v>
      </c>
      <c r="D206" s="22" t="s">
        <v>73</v>
      </c>
      <c r="E206" s="30">
        <f>E205*E156</f>
        <v>7188616.7436843142</v>
      </c>
      <c r="F206" s="22"/>
      <c r="G206" s="3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2:20" thickBot="1" x14ac:dyDescent="0.35">
      <c r="B207" s="2"/>
      <c r="C207" s="2"/>
      <c r="D207" s="22"/>
      <c r="E207" s="2"/>
      <c r="F207" s="2"/>
      <c r="G207" s="3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2:20" thickTop="1" x14ac:dyDescent="0.3">
      <c r="B208" s="2"/>
      <c r="C208" s="104" t="s">
        <v>74</v>
      </c>
      <c r="D208" s="22" t="s">
        <v>73</v>
      </c>
      <c r="E208" s="41">
        <f>1191367.0736*1.5</f>
        <v>1787050.6104000001</v>
      </c>
      <c r="F208" s="26"/>
      <c r="G208" s="3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2:20" ht="13" x14ac:dyDescent="0.3">
      <c r="B209" s="2"/>
      <c r="C209" s="24" t="s">
        <v>75</v>
      </c>
      <c r="D209" s="22" t="s">
        <v>73</v>
      </c>
      <c r="E209" s="44">
        <f>1292070.34081167*1.5</f>
        <v>1938105.5112175052</v>
      </c>
      <c r="F209" s="26"/>
      <c r="G209" s="3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2:20" ht="13" x14ac:dyDescent="0.3">
      <c r="B210" s="2"/>
      <c r="C210" s="24" t="s">
        <v>208</v>
      </c>
      <c r="D210" s="22" t="s">
        <v>73</v>
      </c>
      <c r="E210" s="44">
        <f>11*E10*E12</f>
        <v>82500</v>
      </c>
      <c r="F210" s="26"/>
      <c r="G210" s="3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2:20" ht="13" x14ac:dyDescent="0.3">
      <c r="B211" s="2"/>
      <c r="C211" s="24" t="s">
        <v>76</v>
      </c>
      <c r="D211" s="22" t="s">
        <v>73</v>
      </c>
      <c r="E211" s="44">
        <f>1418835.245*1.5</f>
        <v>2128252.8675000002</v>
      </c>
      <c r="F211" s="26"/>
      <c r="G211" s="3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2:20" ht="13" x14ac:dyDescent="0.3">
      <c r="B212" s="2"/>
      <c r="C212" s="24" t="s">
        <v>77</v>
      </c>
      <c r="D212" s="22" t="s">
        <v>41</v>
      </c>
      <c r="E212" s="52">
        <f>E208/E156</f>
        <v>119.13670736</v>
      </c>
      <c r="F212" s="22"/>
      <c r="G212" s="3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2:20" ht="13" x14ac:dyDescent="0.3">
      <c r="B213" s="2"/>
      <c r="C213" s="24" t="s">
        <v>78</v>
      </c>
      <c r="D213" s="22" t="s">
        <v>41</v>
      </c>
      <c r="E213" s="52">
        <f>E209/E156</f>
        <v>129.20703408116702</v>
      </c>
      <c r="F213" s="22"/>
      <c r="G213" s="3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2:20" ht="13" x14ac:dyDescent="0.3">
      <c r="B214" s="2"/>
      <c r="C214" s="24" t="s">
        <v>208</v>
      </c>
      <c r="D214" s="22" t="s">
        <v>73</v>
      </c>
      <c r="E214" s="52">
        <f>E210/E156</f>
        <v>5.5</v>
      </c>
      <c r="F214" s="22"/>
      <c r="G214" s="3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2:20" ht="13" x14ac:dyDescent="0.3">
      <c r="B215" s="2"/>
      <c r="C215" s="29" t="s">
        <v>79</v>
      </c>
      <c r="D215" s="22" t="s">
        <v>41</v>
      </c>
      <c r="E215" s="30">
        <f>E211/E156</f>
        <v>141.88352450000002</v>
      </c>
      <c r="F215" s="22"/>
      <c r="G215" s="3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2:20" thickBot="1" x14ac:dyDescent="0.35">
      <c r="B216" s="2"/>
      <c r="C216" s="2"/>
      <c r="D216" s="22"/>
      <c r="E216" s="83"/>
      <c r="F216" s="22"/>
      <c r="G216" s="3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2:20" ht="14.5" thickTop="1" x14ac:dyDescent="0.3">
      <c r="B217" s="2"/>
      <c r="C217" s="21" t="s">
        <v>80</v>
      </c>
      <c r="D217" s="22" t="s">
        <v>41</v>
      </c>
      <c r="E217" s="23">
        <f>SUM(E212:E215)</f>
        <v>395.72726594116705</v>
      </c>
      <c r="F217" s="22"/>
      <c r="G217" s="3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2:20" ht="13" x14ac:dyDescent="0.3">
      <c r="B218" s="2"/>
      <c r="C218" s="29" t="s">
        <v>81</v>
      </c>
      <c r="D218" s="22" t="s">
        <v>73</v>
      </c>
      <c r="E218" s="30">
        <f>E217*E156</f>
        <v>5935908.989117506</v>
      </c>
      <c r="F218" s="22"/>
      <c r="G218" s="3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2:20" thickBot="1" x14ac:dyDescent="0.35">
      <c r="B219" s="2"/>
      <c r="C219" s="2"/>
      <c r="D219" s="22"/>
      <c r="E219" s="13"/>
      <c r="F219" s="22"/>
      <c r="G219" s="3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2:20" ht="14.5" thickTop="1" x14ac:dyDescent="0.3">
      <c r="B220" s="2"/>
      <c r="C220" s="21" t="s">
        <v>82</v>
      </c>
      <c r="D220" s="22" t="s">
        <v>41</v>
      </c>
      <c r="E220" s="58">
        <f>E217+E205</f>
        <v>874.96838218678795</v>
      </c>
      <c r="F220" s="22"/>
      <c r="G220" s="3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2:20" ht="13" x14ac:dyDescent="0.3">
      <c r="B221" s="2"/>
      <c r="C221" s="29" t="s">
        <v>83</v>
      </c>
      <c r="D221" s="22" t="s">
        <v>73</v>
      </c>
      <c r="E221" s="30">
        <f>E220*E10</f>
        <v>13124525.732801819</v>
      </c>
      <c r="F221" s="22"/>
      <c r="G221" s="3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2:20" thickBot="1" x14ac:dyDescent="0.35">
      <c r="B222" s="2"/>
      <c r="C222" s="2"/>
      <c r="D222" s="22"/>
      <c r="E222" s="13"/>
      <c r="F222" s="22"/>
      <c r="G222" s="3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2:20" thickTop="1" x14ac:dyDescent="0.3">
      <c r="B223" s="2"/>
      <c r="C223" s="104" t="s">
        <v>84</v>
      </c>
      <c r="D223" s="22" t="s">
        <v>5</v>
      </c>
      <c r="E223" s="105">
        <f>E221/'[1]Production Q. &amp; Sales (2)'!D17</f>
        <v>6.5409172464776774E-2</v>
      </c>
      <c r="F223" s="22"/>
      <c r="G223" s="3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2:20" ht="13" x14ac:dyDescent="0.3">
      <c r="B224" s="2"/>
      <c r="C224" s="24" t="s">
        <v>85</v>
      </c>
      <c r="D224" s="22" t="s">
        <v>41</v>
      </c>
      <c r="E224" s="83">
        <f>E220</f>
        <v>874.96838218678795</v>
      </c>
      <c r="F224" s="22"/>
      <c r="G224" s="3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2:20" ht="13" x14ac:dyDescent="0.3">
      <c r="B225" s="2"/>
      <c r="C225" s="24" t="s">
        <v>86</v>
      </c>
      <c r="D225" s="22" t="s">
        <v>41</v>
      </c>
      <c r="E225" s="83">
        <f>+'[1]Production Q. &amp; Sales (2)'!D41/'[1]Production Q. &amp; Sales (2)'!D30</f>
        <v>677.69333333333338</v>
      </c>
      <c r="F225" s="22"/>
      <c r="G225" s="3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2:20" ht="13" x14ac:dyDescent="0.3">
      <c r="B226" s="2"/>
      <c r="C226" s="29" t="s">
        <v>87</v>
      </c>
      <c r="D226" s="22" t="s">
        <v>41</v>
      </c>
      <c r="E226" s="107">
        <f>E225-E224</f>
        <v>-197.27504885345456</v>
      </c>
      <c r="F226" s="22"/>
      <c r="G226" s="3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2:20" ht="13" x14ac:dyDescent="0.3">
      <c r="B227" s="2"/>
      <c r="C227" s="2"/>
      <c r="D227" s="3"/>
      <c r="E227" s="2"/>
      <c r="F227" s="2"/>
      <c r="G227" s="3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2:20" ht="13" x14ac:dyDescent="0.3">
      <c r="B228" s="2"/>
      <c r="C228" s="2"/>
      <c r="D228" s="3"/>
      <c r="E228" s="2"/>
      <c r="F228" s="2"/>
      <c r="G228" s="3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2:20" ht="14" thickBot="1" x14ac:dyDescent="0.4">
      <c r="G229" s="34"/>
    </row>
    <row r="230" spans="2:20" ht="15" thickTop="1" x14ac:dyDescent="0.35">
      <c r="C230" s="31" t="s">
        <v>47</v>
      </c>
      <c r="G230" s="34"/>
      <c r="J230" s="4" t="s">
        <v>223</v>
      </c>
    </row>
    <row r="231" spans="2:20" x14ac:dyDescent="0.35">
      <c r="C231" s="24" t="s">
        <v>18</v>
      </c>
      <c r="E231" s="209">
        <f>+E73*$E$19</f>
        <v>296474.8819808308</v>
      </c>
      <c r="G231" s="73">
        <f>1/(+$E$20*$E$105*$E$157)*E49*$E$156*D24</f>
        <v>296474.88198083086</v>
      </c>
      <c r="H231" s="73">
        <f>(1/(+$E$20*$E$105*$E$157)-1)*E49*D24</f>
        <v>3.7875915320553912</v>
      </c>
    </row>
    <row r="232" spans="2:20" x14ac:dyDescent="0.35">
      <c r="C232" s="24" t="s">
        <v>19</v>
      </c>
      <c r="E232" s="209">
        <f>+E74*$E$19</f>
        <v>646520.59503344458</v>
      </c>
      <c r="G232" s="73">
        <f>1/(+$E$20*$E$105*$E$157)*E50*$E$156*D25</f>
        <v>646520.59503344458</v>
      </c>
      <c r="H232" s="73">
        <f>(1/(+$E$20*$E$105*$E$157)-1)*E50*D25</f>
        <v>8.259573002229633</v>
      </c>
    </row>
    <row r="233" spans="2:20" x14ac:dyDescent="0.35">
      <c r="C233" s="24" t="s">
        <v>20</v>
      </c>
      <c r="E233" s="209">
        <f>+E75*$E$19</f>
        <v>3967991.8180516018</v>
      </c>
      <c r="G233" s="73">
        <f>1/(+$E$20*$E$105*$E$157)*E51*$E$156*D26</f>
        <v>3967991.8180516022</v>
      </c>
      <c r="H233" s="73">
        <f>(1/(+$E$20*$E$105*$E$157)-1)*E51*D26</f>
        <v>50.692767322828587</v>
      </c>
      <c r="J233" s="238">
        <f>SUM(H231:H233)</f>
        <v>62.739931857113611</v>
      </c>
    </row>
    <row r="234" spans="2:20" x14ac:dyDescent="0.35">
      <c r="C234" s="24" t="s">
        <v>21</v>
      </c>
      <c r="E234" s="209">
        <f>+E76*$E$19</f>
        <v>0</v>
      </c>
      <c r="G234" s="34"/>
    </row>
    <row r="235" spans="2:20" x14ac:dyDescent="0.35">
      <c r="C235" s="24" t="s">
        <v>22</v>
      </c>
      <c r="E235" s="209">
        <f>+E77*$E$19</f>
        <v>0</v>
      </c>
      <c r="G235" s="34"/>
    </row>
    <row r="236" spans="2:20" x14ac:dyDescent="0.35">
      <c r="C236" s="24"/>
      <c r="E236" s="209"/>
      <c r="G236" s="34"/>
    </row>
    <row r="237" spans="2:20" x14ac:dyDescent="0.35">
      <c r="C237" s="24" t="s">
        <v>42</v>
      </c>
      <c r="E237" s="209">
        <f>+E79*$E$19</f>
        <v>-213718.01894255166</v>
      </c>
      <c r="G237" s="233">
        <f>+E237/$E$156</f>
        <v>-14.247867929503444</v>
      </c>
      <c r="J237" s="63">
        <f>(E237/E156)+E238/E156+E239/E156</f>
        <v>-30.578713731615423</v>
      </c>
    </row>
    <row r="238" spans="2:20" x14ac:dyDescent="0.35">
      <c r="C238" s="24" t="s">
        <v>255</v>
      </c>
      <c r="E238" s="209">
        <f>+E139*E104</f>
        <v>-14399.554378618439</v>
      </c>
      <c r="G238" s="233">
        <f>+E238/$E$156</f>
        <v>-0.95997029190789596</v>
      </c>
      <c r="J238" s="63"/>
    </row>
    <row r="239" spans="2:20" x14ac:dyDescent="0.35">
      <c r="C239" s="24" t="s">
        <v>275</v>
      </c>
      <c r="E239" s="209">
        <f>+E193*E156</f>
        <v>-230563.13265306124</v>
      </c>
      <c r="G239" s="233">
        <f>+E239/$E$156</f>
        <v>-15.370875510204083</v>
      </c>
      <c r="J239" s="63"/>
    </row>
    <row r="240" spans="2:20" x14ac:dyDescent="0.35">
      <c r="C240" s="24"/>
      <c r="E240" s="209"/>
      <c r="G240" s="34"/>
      <c r="I240" s="4" t="s">
        <v>229</v>
      </c>
    </row>
    <row r="241" spans="3:11" x14ac:dyDescent="0.35">
      <c r="C241" s="24" t="s">
        <v>24</v>
      </c>
      <c r="E241" s="209">
        <f>+E81*$E$19</f>
        <v>552423.95196890843</v>
      </c>
      <c r="G241" s="233">
        <f t="shared" ref="G241:G247" si="2">+E241/$E$156</f>
        <v>36.828263464593896</v>
      </c>
      <c r="H241" s="242">
        <f t="shared" ref="H241:H247" si="3">+G241/$G$268</f>
        <v>0.37483113568295401</v>
      </c>
      <c r="I241" s="241">
        <f t="shared" ref="I241:I247" si="4">H241*$E$271</f>
        <v>1.113804782236215E-2</v>
      </c>
      <c r="J241" s="241">
        <f>G241-I241</f>
        <v>36.817125416771532</v>
      </c>
      <c r="K241" s="4">
        <v>36.828263464593903</v>
      </c>
    </row>
    <row r="242" spans="3:11" x14ac:dyDescent="0.35">
      <c r="C242" s="24" t="s">
        <v>256</v>
      </c>
      <c r="E242" s="209">
        <f>+E141*$E$104</f>
        <v>25.894741600001677</v>
      </c>
      <c r="G242" s="233">
        <f t="shared" si="2"/>
        <v>1.7263161066667784E-3</v>
      </c>
      <c r="H242" s="242">
        <f t="shared" si="3"/>
        <v>1.7570120498127033E-5</v>
      </c>
      <c r="I242" s="241">
        <f t="shared" si="4"/>
        <v>5.2209334743827682E-7</v>
      </c>
      <c r="J242" s="241">
        <f t="shared" ref="J242:J247" si="5">G242-I242</f>
        <v>1.7257940133193401E-3</v>
      </c>
      <c r="K242" s="4">
        <v>1.9732705975540939E-3</v>
      </c>
    </row>
    <row r="243" spans="3:11" x14ac:dyDescent="0.35">
      <c r="C243" s="24" t="s">
        <v>26</v>
      </c>
      <c r="E243" s="209">
        <f>+E82*$E$19</f>
        <v>212704.68788956202</v>
      </c>
      <c r="G243" s="233">
        <f t="shared" si="2"/>
        <v>14.180312525970802</v>
      </c>
      <c r="H243" s="242">
        <f t="shared" si="3"/>
        <v>0.14432455262406885</v>
      </c>
      <c r="I243" s="241">
        <f t="shared" si="4"/>
        <v>4.2885812197511232E-3</v>
      </c>
      <c r="J243" s="241">
        <f t="shared" si="5"/>
        <v>14.176023944751051</v>
      </c>
      <c r="K243" s="4">
        <v>14.1803125259708</v>
      </c>
    </row>
    <row r="244" spans="3:11" x14ac:dyDescent="0.35">
      <c r="C244" s="24" t="s">
        <v>257</v>
      </c>
      <c r="E244" s="209">
        <f>+E142*$E$104</f>
        <v>24030.423584462391</v>
      </c>
      <c r="G244" s="233">
        <f t="shared" si="2"/>
        <v>1.6020282389641594</v>
      </c>
      <c r="H244" s="242">
        <f t="shared" si="3"/>
        <v>1.630514196751091E-2</v>
      </c>
      <c r="I244" s="241">
        <f t="shared" si="4"/>
        <v>4.845047107776844E-4</v>
      </c>
      <c r="J244" s="241">
        <f t="shared" si="5"/>
        <v>1.6015437342533816</v>
      </c>
      <c r="K244" s="4">
        <v>1.8312029924248026</v>
      </c>
    </row>
    <row r="245" spans="3:11" x14ac:dyDescent="0.35">
      <c r="C245" s="24" t="s">
        <v>280</v>
      </c>
      <c r="E245" s="209">
        <f>+E195*E156</f>
        <v>12846.87841070102</v>
      </c>
      <c r="G245" s="233">
        <f t="shared" si="2"/>
        <v>0.85645856071340132</v>
      </c>
      <c r="H245" s="242">
        <f t="shared" si="3"/>
        <v>8.71687407379995E-3</v>
      </c>
      <c r="I245" s="241">
        <f t="shared" si="4"/>
        <v>2.5902053232209086E-4</v>
      </c>
      <c r="J245" s="241">
        <f>G245-I245</f>
        <v>0.85619954018107924</v>
      </c>
      <c r="K245" s="4">
        <v>0.97897742444308244</v>
      </c>
    </row>
    <row r="246" spans="3:11" x14ac:dyDescent="0.35">
      <c r="C246" s="24" t="s">
        <v>27</v>
      </c>
      <c r="E246" s="209">
        <f>+E83*$E$19</f>
        <v>259502.43179359779</v>
      </c>
      <c r="G246" s="233">
        <f t="shared" si="2"/>
        <v>17.300162119573187</v>
      </c>
      <c r="H246" s="242">
        <f t="shared" si="3"/>
        <v>0.17607779473536861</v>
      </c>
      <c r="I246" s="241">
        <f t="shared" si="4"/>
        <v>5.2321237792727704E-3</v>
      </c>
      <c r="J246" s="241">
        <f t="shared" si="5"/>
        <v>17.294929995793915</v>
      </c>
      <c r="K246" s="4">
        <v>19.775000135628307</v>
      </c>
    </row>
    <row r="247" spans="3:11" x14ac:dyDescent="0.35">
      <c r="C247" s="24" t="s">
        <v>28</v>
      </c>
      <c r="E247" s="209">
        <f>+E84*$E$19</f>
        <v>5161.5679605024116</v>
      </c>
      <c r="G247" s="233">
        <f t="shared" si="2"/>
        <v>0.34410453070016078</v>
      </c>
      <c r="H247" s="242">
        <f t="shared" si="3"/>
        <v>3.5022311643879583E-3</v>
      </c>
      <c r="I247" s="241">
        <f t="shared" si="4"/>
        <v>1.0406824428511344E-4</v>
      </c>
      <c r="J247" s="241">
        <f t="shared" si="5"/>
        <v>0.34400046245587568</v>
      </c>
      <c r="K247" s="4">
        <v>0.39332967484549064</v>
      </c>
    </row>
    <row r="248" spans="3:11" ht="14.5" x14ac:dyDescent="0.35">
      <c r="C248" s="55"/>
      <c r="E248" s="209"/>
      <c r="G248" s="240"/>
      <c r="H248" s="243"/>
    </row>
    <row r="249" spans="3:11" x14ac:dyDescent="0.35">
      <c r="C249" s="24" t="s">
        <v>214</v>
      </c>
      <c r="E249" s="209">
        <f>+E86*$E$19</f>
        <v>774478.86297376105</v>
      </c>
      <c r="G249" s="233">
        <f>+E249/$E$156</f>
        <v>51.631924198250736</v>
      </c>
      <c r="H249" s="245"/>
    </row>
    <row r="250" spans="3:11" x14ac:dyDescent="0.35">
      <c r="C250" s="24" t="s">
        <v>215</v>
      </c>
      <c r="E250" s="209">
        <f>+E87*$E$19</f>
        <v>262079.50659403787</v>
      </c>
      <c r="G250" s="233">
        <f>+E250/$E$156</f>
        <v>17.47196710626919</v>
      </c>
      <c r="H250" s="245"/>
    </row>
    <row r="251" spans="3:11" x14ac:dyDescent="0.35">
      <c r="C251" s="24" t="s">
        <v>258</v>
      </c>
      <c r="E251" s="209">
        <f>+E144*$E$104</f>
        <v>5768.4426575725238</v>
      </c>
      <c r="G251" s="233">
        <f>+E251/$E$156</f>
        <v>0.38456284383816824</v>
      </c>
      <c r="H251" s="242">
        <f t="shared" ref="H251:H262" si="6">+G251/$G$268</f>
        <v>3.9140082625917696E-3</v>
      </c>
      <c r="I251" s="241">
        <f t="shared" ref="I251:I264" si="7">H251*$E$271</f>
        <v>1.1630413553142363E-4</v>
      </c>
      <c r="J251" s="241">
        <f t="shared" ref="J251:J262" si="8">G251-I251</f>
        <v>0.38444653970263681</v>
      </c>
      <c r="K251" s="4">
        <v>0.43957566619872823</v>
      </c>
    </row>
    <row r="252" spans="3:11" x14ac:dyDescent="0.35">
      <c r="C252" s="24" t="s">
        <v>277</v>
      </c>
      <c r="E252" s="209">
        <f>+E197*E156</f>
        <v>104802.83362318836</v>
      </c>
      <c r="G252" s="233"/>
      <c r="H252" s="242"/>
      <c r="I252" s="241"/>
      <c r="J252" s="241"/>
    </row>
    <row r="253" spans="3:11" x14ac:dyDescent="0.35">
      <c r="C253" s="24" t="s">
        <v>31</v>
      </c>
      <c r="E253" s="209">
        <f>+E88*$E$19</f>
        <v>57145.53694008333</v>
      </c>
      <c r="G253" s="233">
        <f>+E253/$E$156</f>
        <v>3.809702462672222</v>
      </c>
      <c r="H253" s="242">
        <f t="shared" si="6"/>
        <v>3.8774434805225813E-2</v>
      </c>
      <c r="I253" s="241">
        <f t="shared" si="7"/>
        <v>1.1521761882421673E-3</v>
      </c>
      <c r="J253" s="241">
        <f t="shared" si="8"/>
        <v>3.80855028648398</v>
      </c>
      <c r="K253" s="4">
        <v>4.3546913719849778</v>
      </c>
    </row>
    <row r="254" spans="3:11" x14ac:dyDescent="0.35">
      <c r="C254" s="24" t="s">
        <v>259</v>
      </c>
      <c r="E254" s="209">
        <f>+E145*$E$104</f>
        <v>25729.365785483253</v>
      </c>
      <c r="G254" s="233">
        <f>+E254/$E$156</f>
        <v>1.7152910523655502</v>
      </c>
      <c r="H254" s="242">
        <f t="shared" si="6"/>
        <v>1.7457909569999278E-2</v>
      </c>
      <c r="I254" s="241">
        <f t="shared" si="7"/>
        <v>5.1875901748353224E-4</v>
      </c>
      <c r="J254" s="241">
        <f t="shared" si="8"/>
        <v>1.7147722933480667</v>
      </c>
      <c r="K254" s="4">
        <v>1.9606683774826743</v>
      </c>
    </row>
    <row r="255" spans="3:11" x14ac:dyDescent="0.35">
      <c r="C255" s="24" t="s">
        <v>278</v>
      </c>
      <c r="E255" s="209">
        <f>+E198*E156</f>
        <v>119288.87660760227</v>
      </c>
      <c r="G255" s="233"/>
      <c r="H255" s="242"/>
      <c r="I255" s="241"/>
      <c r="J255" s="241"/>
    </row>
    <row r="256" spans="3:11" x14ac:dyDescent="0.35">
      <c r="C256" s="24" t="s">
        <v>33</v>
      </c>
      <c r="E256" s="209">
        <f>+E89*$E$19</f>
        <v>6571.2957788616186</v>
      </c>
      <c r="G256" s="233">
        <f>+E256/$E$156</f>
        <v>0.43808638525744126</v>
      </c>
      <c r="H256" s="242">
        <f t="shared" si="6"/>
        <v>4.4587607957989701E-3</v>
      </c>
      <c r="I256" s="241">
        <f t="shared" si="7"/>
        <v>1.3249137076512315E-4</v>
      </c>
      <c r="J256" s="241">
        <f t="shared" si="8"/>
        <v>0.43795389388667616</v>
      </c>
      <c r="K256" s="4">
        <v>0.50075590436701323</v>
      </c>
    </row>
    <row r="257" spans="3:11" x14ac:dyDescent="0.35">
      <c r="C257" s="24" t="s">
        <v>260</v>
      </c>
      <c r="E257" s="209">
        <f>+E146*$E$104</f>
        <v>2072.1647271285733</v>
      </c>
      <c r="G257" s="233">
        <f>+E257/$E$156</f>
        <v>0.13814431514190489</v>
      </c>
      <c r="H257" s="242">
        <f t="shared" si="6"/>
        <v>1.4060068453285977E-3</v>
      </c>
      <c r="I257" s="241">
        <f t="shared" si="7"/>
        <v>4.1779270692935217E-5</v>
      </c>
      <c r="J257" s="241">
        <f t="shared" si="8"/>
        <v>0.13810253587121196</v>
      </c>
      <c r="K257" s="4">
        <v>0.15790625728164248</v>
      </c>
    </row>
    <row r="258" spans="3:11" x14ac:dyDescent="0.35">
      <c r="C258" s="24" t="s">
        <v>279</v>
      </c>
      <c r="E258" s="209">
        <f>+E199*E156</f>
        <v>1844.8584826384617</v>
      </c>
      <c r="G258" s="233"/>
      <c r="H258" s="242"/>
      <c r="I258" s="241"/>
      <c r="J258" s="241"/>
    </row>
    <row r="259" spans="3:11" x14ac:dyDescent="0.35">
      <c r="C259" s="24" t="s">
        <v>35</v>
      </c>
      <c r="E259" s="209">
        <f>+E90*$E$19</f>
        <v>93297.092937668946</v>
      </c>
      <c r="G259" s="233">
        <f t="shared" ref="G259:G264" si="9">+E259/$E$156</f>
        <v>6.2198061958445967</v>
      </c>
      <c r="H259" s="242">
        <f t="shared" si="6"/>
        <v>6.3304017099737889E-2</v>
      </c>
      <c r="I259" s="241">
        <f t="shared" si="7"/>
        <v>1.8810688405589051E-3</v>
      </c>
      <c r="J259" s="241">
        <f t="shared" si="8"/>
        <v>6.2179251270040377</v>
      </c>
      <c r="K259" s="4">
        <v>7.1095673853398065</v>
      </c>
    </row>
    <row r="260" spans="3:11" x14ac:dyDescent="0.35">
      <c r="C260" s="24" t="s">
        <v>261</v>
      </c>
      <c r="E260" s="209">
        <f>+E147*$E$104</f>
        <v>9147.1950482613374</v>
      </c>
      <c r="G260" s="233">
        <f t="shared" si="9"/>
        <v>0.60981300321742249</v>
      </c>
      <c r="H260" s="242">
        <f t="shared" si="6"/>
        <v>6.2065620001325759E-3</v>
      </c>
      <c r="I260" s="241">
        <f t="shared" si="7"/>
        <v>1.8442700669456699E-4</v>
      </c>
      <c r="J260" s="241">
        <f t="shared" si="8"/>
        <v>0.60962857621072797</v>
      </c>
      <c r="K260" s="4">
        <v>0.69704850960263409</v>
      </c>
    </row>
    <row r="261" spans="3:11" x14ac:dyDescent="0.35">
      <c r="C261" s="24" t="s">
        <v>36</v>
      </c>
      <c r="E261" s="209">
        <f>+E91*$E$19</f>
        <v>10956.492026402819</v>
      </c>
      <c r="G261" s="233">
        <f t="shared" si="9"/>
        <v>0.73043280176018788</v>
      </c>
      <c r="H261" s="242">
        <f t="shared" si="6"/>
        <v>7.4342076130488634E-3</v>
      </c>
      <c r="I261" s="241">
        <f t="shared" si="7"/>
        <v>2.2090630161936299E-4</v>
      </c>
      <c r="J261" s="241">
        <f t="shared" si="8"/>
        <v>0.73021189545856846</v>
      </c>
      <c r="K261" s="4">
        <v>0.83492331771463424</v>
      </c>
    </row>
    <row r="262" spans="3:11" x14ac:dyDescent="0.35">
      <c r="C262" s="24" t="s">
        <v>37</v>
      </c>
      <c r="E262" s="209">
        <f>+E92*$E$19</f>
        <v>9172.7610696668689</v>
      </c>
      <c r="G262" s="233">
        <f t="shared" si="9"/>
        <v>0.61151740464445792</v>
      </c>
      <c r="H262" s="242">
        <f t="shared" si="6"/>
        <v>6.2239090771450322E-3</v>
      </c>
      <c r="I262" s="241">
        <f t="shared" si="7"/>
        <v>1.8494247234015937E-4</v>
      </c>
      <c r="J262" s="241">
        <f t="shared" si="8"/>
        <v>0.61133246217211779</v>
      </c>
      <c r="K262" s="4">
        <v>0.69899673056252098</v>
      </c>
    </row>
    <row r="263" spans="3:11" x14ac:dyDescent="0.35">
      <c r="C263" s="24"/>
      <c r="E263" s="209"/>
      <c r="G263" s="240"/>
      <c r="H263" s="243"/>
    </row>
    <row r="264" spans="3:11" x14ac:dyDescent="0.35">
      <c r="C264" s="24" t="s">
        <v>281</v>
      </c>
      <c r="E264" s="209">
        <f>+E201*E156</f>
        <v>3513.3477496648279</v>
      </c>
      <c r="G264" s="233">
        <f t="shared" si="9"/>
        <v>0.23422318331098851</v>
      </c>
      <c r="H264" s="242">
        <f>+G264/$G$268</f>
        <v>2.3838794866920194E-3</v>
      </c>
      <c r="I264" s="241">
        <f t="shared" si="7"/>
        <v>7.0836601332879416E-5</v>
      </c>
      <c r="J264" s="241">
        <f>G264-I264</f>
        <v>0.23415234670965562</v>
      </c>
      <c r="K264" s="4">
        <v>0.26772948425158244</v>
      </c>
    </row>
    <row r="265" spans="3:11" x14ac:dyDescent="0.35">
      <c r="C265" s="24" t="s">
        <v>38</v>
      </c>
      <c r="E265" s="209">
        <f>+E94*$E$19</f>
        <v>183724.66418095323</v>
      </c>
      <c r="G265" s="233">
        <f>+E265/$E$156</f>
        <v>12.248310945396883</v>
      </c>
      <c r="H265" s="242">
        <f>+G265/$G$268</f>
        <v>0.12466100407571022</v>
      </c>
      <c r="I265" s="241">
        <f>H265*$E$271</f>
        <v>3.7042819894059472E-3</v>
      </c>
      <c r="J265" s="241">
        <f>G265-I265</f>
        <v>12.244606663407477</v>
      </c>
      <c r="K265" s="4">
        <v>7.2420238567819784</v>
      </c>
    </row>
    <row r="266" spans="3:11" x14ac:dyDescent="0.35">
      <c r="C266" s="29" t="s">
        <v>39</v>
      </c>
      <c r="E266" s="209">
        <f>+E95*$E$19</f>
        <v>0</v>
      </c>
      <c r="G266" s="233">
        <f>+E266/$E$156</f>
        <v>0</v>
      </c>
    </row>
    <row r="267" spans="3:11" x14ac:dyDescent="0.35">
      <c r="E267" s="209"/>
      <c r="G267" s="34"/>
    </row>
    <row r="268" spans="3:11" x14ac:dyDescent="0.35">
      <c r="E268" s="209">
        <f>SUM(E231:E266)</f>
        <v>7188595.7226239517</v>
      </c>
      <c r="G268" s="233">
        <f>SUM(G241:G265)-G249-G250</f>
        <v>98.25294635007215</v>
      </c>
      <c r="J268" s="54">
        <f>SUM(E241:E266)/E156</f>
        <v>182.41927556882067</v>
      </c>
    </row>
    <row r="269" spans="3:11" x14ac:dyDescent="0.35">
      <c r="E269" s="238">
        <f>E268/E156</f>
        <v>479.23971484159676</v>
      </c>
      <c r="G269" s="34"/>
      <c r="J269" s="238">
        <f>+J268+J237</f>
        <v>151.84056183720526</v>
      </c>
      <c r="K269" s="4" t="s">
        <v>224</v>
      </c>
    </row>
    <row r="270" spans="3:11" x14ac:dyDescent="0.35">
      <c r="E270" s="239">
        <v>479.21</v>
      </c>
      <c r="G270" s="34"/>
    </row>
    <row r="271" spans="3:11" x14ac:dyDescent="0.35">
      <c r="E271" s="54">
        <f>E269-E270</f>
        <v>2.9714841596785391E-2</v>
      </c>
      <c r="G271" s="34"/>
    </row>
    <row r="272" spans="3:11" x14ac:dyDescent="0.35">
      <c r="E272" s="209"/>
      <c r="G272" s="34"/>
    </row>
    <row r="273" spans="5:7" x14ac:dyDescent="0.35">
      <c r="E273" s="209"/>
      <c r="G273" s="34"/>
    </row>
    <row r="274" spans="5:7" x14ac:dyDescent="0.35">
      <c r="G274" s="34"/>
    </row>
    <row r="275" spans="5:7" x14ac:dyDescent="0.35">
      <c r="G275" s="34"/>
    </row>
    <row r="276" spans="5:7" x14ac:dyDescent="0.35">
      <c r="G276" s="34"/>
    </row>
    <row r="277" spans="5:7" x14ac:dyDescent="0.35">
      <c r="G277" s="34"/>
    </row>
    <row r="351" spans="2:20" ht="13" x14ac:dyDescent="0.3"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2:20" ht="13" x14ac:dyDescent="0.3"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2:20" ht="13" x14ac:dyDescent="0.3"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2:20" ht="13" x14ac:dyDescent="0.3"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2:20" ht="13" x14ac:dyDescent="0.3"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2:20" ht="13" x14ac:dyDescent="0.3"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2:20" ht="13" x14ac:dyDescent="0.3"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2:20" ht="13" x14ac:dyDescent="0.3"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2:20" ht="13" x14ac:dyDescent="0.3"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2:20" ht="13" x14ac:dyDescent="0.3"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</sheetData>
  <pageMargins left="0.7" right="0.7" top="0.75" bottom="0.75" header="0.3" footer="0.3"/>
  <pageSetup orientation="portrait" r:id="rId1"/>
  <headerFooter>
    <oddFooter>&amp;C&amp;1#&amp;"Calibri"&amp;10&amp;K737373EZDK Business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pageSetUpPr fitToPage="1"/>
  </sheetPr>
  <dimension ref="B1:I68"/>
  <sheetViews>
    <sheetView showGridLines="0" zoomScale="115" zoomScaleNormal="115" workbookViewId="0">
      <selection activeCell="F11" sqref="F11"/>
    </sheetView>
  </sheetViews>
  <sheetFormatPr defaultRowHeight="14.5" x14ac:dyDescent="0.35"/>
  <cols>
    <col min="2" max="2" width="40" customWidth="1"/>
    <col min="3" max="3" width="9.7265625" style="224" customWidth="1"/>
    <col min="8" max="8" width="10.7265625" bestFit="1" customWidth="1"/>
  </cols>
  <sheetData>
    <row r="1" spans="2:9" ht="15" thickBot="1" x14ac:dyDescent="0.4"/>
    <row r="2" spans="2:9" ht="15" thickBot="1" x14ac:dyDescent="0.4">
      <c r="B2" s="786" t="s">
        <v>264</v>
      </c>
      <c r="C2" s="787"/>
      <c r="D2" s="787"/>
      <c r="E2" s="787"/>
      <c r="F2" s="787"/>
      <c r="G2" s="788"/>
      <c r="H2" s="383">
        <f ca="1">+TODAY()</f>
        <v>46303</v>
      </c>
    </row>
    <row r="3" spans="2:9" ht="15" thickBot="1" x14ac:dyDescent="0.4"/>
    <row r="4" spans="2:9" ht="15" thickBot="1" x14ac:dyDescent="0.4">
      <c r="B4" s="355" t="s">
        <v>173</v>
      </c>
      <c r="C4" s="357" t="s">
        <v>178</v>
      </c>
      <c r="D4" s="357" t="s">
        <v>177</v>
      </c>
      <c r="E4" s="357" t="s">
        <v>198</v>
      </c>
      <c r="F4" s="357" t="s">
        <v>179</v>
      </c>
      <c r="G4" s="357" t="s">
        <v>199</v>
      </c>
      <c r="H4" s="358" t="s">
        <v>271</v>
      </c>
      <c r="I4" s="224"/>
    </row>
    <row r="5" spans="2:9" x14ac:dyDescent="0.35">
      <c r="D5" s="224"/>
      <c r="E5" s="224"/>
      <c r="F5" s="224"/>
      <c r="G5" s="224"/>
      <c r="H5" s="224"/>
      <c r="I5" s="224"/>
    </row>
    <row r="6" spans="2:9" x14ac:dyDescent="0.35">
      <c r="B6" t="s">
        <v>265</v>
      </c>
      <c r="C6" s="224" t="s">
        <v>272</v>
      </c>
      <c r="D6" s="224">
        <f>+SUM(D7:D9)</f>
        <v>20.58</v>
      </c>
      <c r="E6" s="224">
        <f>+SUM(E7:E9)</f>
        <v>6.22</v>
      </c>
      <c r="F6" s="224">
        <f>+SUM(F7:F9)</f>
        <v>6.5299999999999994</v>
      </c>
      <c r="G6" s="224">
        <f>+SUM(G7:G9)</f>
        <v>10</v>
      </c>
      <c r="H6" s="224">
        <f>SUM(D6:G6)</f>
        <v>43.33</v>
      </c>
      <c r="I6" s="224"/>
    </row>
    <row r="7" spans="2:9" x14ac:dyDescent="0.35">
      <c r="B7" t="s">
        <v>266</v>
      </c>
      <c r="C7" s="224" t="s">
        <v>272</v>
      </c>
      <c r="D7" s="224">
        <v>9.93</v>
      </c>
      <c r="E7" s="224">
        <v>3.54</v>
      </c>
      <c r="F7" s="224">
        <v>1.17</v>
      </c>
      <c r="G7" s="224">
        <v>2.4500000000000002</v>
      </c>
      <c r="H7" s="224">
        <f>SUM(D7:G7)</f>
        <v>17.09</v>
      </c>
      <c r="I7" s="224"/>
    </row>
    <row r="8" spans="2:9" x14ac:dyDescent="0.35">
      <c r="B8" t="s">
        <v>267</v>
      </c>
      <c r="C8" s="224" t="s">
        <v>272</v>
      </c>
      <c r="D8" s="224">
        <v>3.66</v>
      </c>
      <c r="E8" s="224">
        <v>0.26</v>
      </c>
      <c r="F8" s="224">
        <v>0.84</v>
      </c>
      <c r="G8" s="224">
        <v>2.38</v>
      </c>
      <c r="H8" s="224">
        <f>SUM(D8:G8)</f>
        <v>7.14</v>
      </c>
      <c r="I8" s="224"/>
    </row>
    <row r="9" spans="2:9" x14ac:dyDescent="0.35">
      <c r="B9" t="s">
        <v>268</v>
      </c>
      <c r="C9" s="224" t="s">
        <v>272</v>
      </c>
      <c r="D9" s="224">
        <v>6.99</v>
      </c>
      <c r="E9" s="224">
        <v>2.42</v>
      </c>
      <c r="F9" s="224">
        <v>4.5199999999999996</v>
      </c>
      <c r="G9" s="224">
        <v>5.17</v>
      </c>
      <c r="H9" s="225">
        <f>SUM(D9:G9)</f>
        <v>19.100000000000001</v>
      </c>
      <c r="I9" s="224"/>
    </row>
    <row r="10" spans="2:9" x14ac:dyDescent="0.35">
      <c r="D10" s="224"/>
      <c r="E10" s="224"/>
      <c r="F10" s="224"/>
      <c r="G10" s="224"/>
      <c r="H10" s="224"/>
      <c r="I10" s="224"/>
    </row>
    <row r="11" spans="2:9" x14ac:dyDescent="0.35">
      <c r="B11" t="s">
        <v>269</v>
      </c>
      <c r="C11" s="224" t="s">
        <v>272</v>
      </c>
      <c r="D11" s="224">
        <v>2.39</v>
      </c>
      <c r="E11" s="224">
        <v>2.52</v>
      </c>
      <c r="F11" s="224">
        <v>1.24</v>
      </c>
      <c r="G11" s="224">
        <v>0.13</v>
      </c>
      <c r="H11" s="224">
        <f>SUM(D11:G11)</f>
        <v>6.28</v>
      </c>
      <c r="I11" s="224"/>
    </row>
    <row r="12" spans="2:9" x14ac:dyDescent="0.35">
      <c r="D12" s="224"/>
      <c r="E12" s="224"/>
      <c r="F12" s="224"/>
      <c r="G12" s="224"/>
      <c r="H12" s="224"/>
      <c r="I12" s="224"/>
    </row>
    <row r="13" spans="2:9" ht="31.5" customHeight="1" thickBot="1" x14ac:dyDescent="0.4">
      <c r="B13" s="395" t="s">
        <v>301</v>
      </c>
      <c r="C13" s="373" t="s">
        <v>272</v>
      </c>
      <c r="D13" s="373">
        <f>D11+D6</f>
        <v>22.97</v>
      </c>
      <c r="E13" s="373">
        <f>E11+E6</f>
        <v>8.74</v>
      </c>
      <c r="F13" s="373">
        <f>F11+F6</f>
        <v>7.77</v>
      </c>
      <c r="G13" s="373">
        <f>G11+G6</f>
        <v>10.130000000000001</v>
      </c>
      <c r="H13" s="367">
        <f>H11+H6</f>
        <v>49.61</v>
      </c>
      <c r="I13" s="224"/>
    </row>
    <row r="14" spans="2:9" ht="15" thickTop="1" x14ac:dyDescent="0.35">
      <c r="D14" s="224"/>
      <c r="E14" s="224"/>
      <c r="F14" s="224"/>
      <c r="G14" s="224"/>
      <c r="H14" s="224"/>
      <c r="I14" s="224"/>
    </row>
    <row r="15" spans="2:9" x14ac:dyDescent="0.35">
      <c r="B15" t="s">
        <v>270</v>
      </c>
      <c r="D15" s="224">
        <v>16.2</v>
      </c>
      <c r="E15" s="224"/>
      <c r="F15" s="224"/>
      <c r="G15" s="224"/>
      <c r="H15" s="224"/>
      <c r="I15" s="224"/>
    </row>
    <row r="17" spans="2:8" hidden="1" x14ac:dyDescent="0.35">
      <c r="B17" s="360" t="s">
        <v>173</v>
      </c>
      <c r="C17" s="362"/>
      <c r="D17" s="362" t="s">
        <v>177</v>
      </c>
      <c r="E17" s="362" t="s">
        <v>198</v>
      </c>
      <c r="F17" s="362" t="s">
        <v>179</v>
      </c>
      <c r="G17" s="362" t="s">
        <v>199</v>
      </c>
      <c r="H17" s="363" t="s">
        <v>271</v>
      </c>
    </row>
    <row r="18" spans="2:8" hidden="1" x14ac:dyDescent="0.35">
      <c r="B18" s="340"/>
      <c r="H18" s="341"/>
    </row>
    <row r="19" spans="2:8" hidden="1" x14ac:dyDescent="0.35">
      <c r="B19" s="340" t="s">
        <v>265</v>
      </c>
      <c r="C19" s="224" t="s">
        <v>273</v>
      </c>
      <c r="D19" s="247">
        <f>D6*$D$15</f>
        <v>333.39599999999996</v>
      </c>
      <c r="E19" s="247">
        <f>E6*$D$15</f>
        <v>100.764</v>
      </c>
      <c r="F19" s="247">
        <f>F6*$D$15</f>
        <v>105.78599999999999</v>
      </c>
      <c r="G19" s="247">
        <f>G6*$D$15</f>
        <v>162</v>
      </c>
      <c r="H19" s="349">
        <f>SUM(D19:G19)</f>
        <v>701.94599999999991</v>
      </c>
    </row>
    <row r="20" spans="2:8" hidden="1" x14ac:dyDescent="0.35">
      <c r="B20" s="340" t="s">
        <v>266</v>
      </c>
      <c r="C20" s="224" t="s">
        <v>273</v>
      </c>
      <c r="D20" s="247">
        <f t="shared" ref="D20:G22" si="0">D7*$D$15</f>
        <v>160.86599999999999</v>
      </c>
      <c r="E20" s="247">
        <f t="shared" si="0"/>
        <v>57.347999999999999</v>
      </c>
      <c r="F20" s="247">
        <f t="shared" si="0"/>
        <v>18.953999999999997</v>
      </c>
      <c r="G20" s="247">
        <f t="shared" si="0"/>
        <v>39.69</v>
      </c>
      <c r="H20" s="349">
        <f>SUM(D20:G20)</f>
        <v>276.858</v>
      </c>
    </row>
    <row r="21" spans="2:8" hidden="1" x14ac:dyDescent="0.35">
      <c r="B21" s="340" t="s">
        <v>267</v>
      </c>
      <c r="C21" s="224" t="s">
        <v>273</v>
      </c>
      <c r="D21" s="247">
        <f t="shared" si="0"/>
        <v>59.292000000000002</v>
      </c>
      <c r="E21" s="247">
        <f t="shared" si="0"/>
        <v>4.2119999999999997</v>
      </c>
      <c r="F21" s="247">
        <f t="shared" si="0"/>
        <v>13.607999999999999</v>
      </c>
      <c r="G21" s="247">
        <f t="shared" si="0"/>
        <v>38.555999999999997</v>
      </c>
      <c r="H21" s="349">
        <f>SUM(D21:G21)</f>
        <v>115.66800000000001</v>
      </c>
    </row>
    <row r="22" spans="2:8" hidden="1" x14ac:dyDescent="0.35">
      <c r="B22" s="340" t="s">
        <v>268</v>
      </c>
      <c r="C22" s="224" t="s">
        <v>273</v>
      </c>
      <c r="D22" s="247">
        <f t="shared" si="0"/>
        <v>113.238</v>
      </c>
      <c r="E22" s="247">
        <f t="shared" si="0"/>
        <v>39.204000000000001</v>
      </c>
      <c r="F22" s="247">
        <f t="shared" si="0"/>
        <v>73.22399999999999</v>
      </c>
      <c r="G22" s="247">
        <f t="shared" si="0"/>
        <v>83.753999999999991</v>
      </c>
      <c r="H22" s="349">
        <f>SUM(D22:G22)</f>
        <v>309.41999999999996</v>
      </c>
    </row>
    <row r="23" spans="2:8" hidden="1" x14ac:dyDescent="0.35">
      <c r="B23" s="340"/>
      <c r="H23" s="349"/>
    </row>
    <row r="24" spans="2:8" ht="15" hidden="1" thickBot="1" x14ac:dyDescent="0.4">
      <c r="B24" s="352" t="s">
        <v>269</v>
      </c>
      <c r="C24" s="372" t="s">
        <v>273</v>
      </c>
      <c r="D24" s="353">
        <f>D11*$D$15</f>
        <v>38.718000000000004</v>
      </c>
      <c r="E24" s="353">
        <f>E11*$D$15</f>
        <v>40.823999999999998</v>
      </c>
      <c r="F24" s="353">
        <f>F11*$D$15</f>
        <v>20.087999999999997</v>
      </c>
      <c r="G24" s="353">
        <f>G11*$D$15</f>
        <v>2.1059999999999999</v>
      </c>
      <c r="H24" s="385">
        <f>SUM(D24:G24)</f>
        <v>101.73599999999999</v>
      </c>
    </row>
    <row r="26" spans="2:8" x14ac:dyDescent="0.35">
      <c r="D26" s="376">
        <v>1</v>
      </c>
      <c r="E26" s="377" t="s">
        <v>388</v>
      </c>
    </row>
    <row r="28" spans="2:8" x14ac:dyDescent="0.35">
      <c r="B28" t="s">
        <v>173</v>
      </c>
      <c r="D28" s="221" t="s">
        <v>177</v>
      </c>
      <c r="E28" s="221" t="s">
        <v>198</v>
      </c>
      <c r="F28" s="221" t="s">
        <v>179</v>
      </c>
      <c r="G28" s="221" t="s">
        <v>199</v>
      </c>
    </row>
    <row r="29" spans="2:8" x14ac:dyDescent="0.35">
      <c r="B29" t="s">
        <v>295</v>
      </c>
    </row>
    <row r="30" spans="2:8" x14ac:dyDescent="0.35">
      <c r="B30" t="s">
        <v>20</v>
      </c>
      <c r="C30" s="224" t="s">
        <v>5</v>
      </c>
      <c r="F30">
        <v>70</v>
      </c>
    </row>
    <row r="31" spans="2:8" x14ac:dyDescent="0.35">
      <c r="B31" t="s">
        <v>285</v>
      </c>
      <c r="C31" s="224" t="s">
        <v>5</v>
      </c>
      <c r="D31">
        <v>25</v>
      </c>
      <c r="E31">
        <v>50</v>
      </c>
      <c r="F31">
        <v>30</v>
      </c>
      <c r="G31">
        <v>100</v>
      </c>
    </row>
    <row r="32" spans="2:8" x14ac:dyDescent="0.35">
      <c r="B32" t="s">
        <v>286</v>
      </c>
      <c r="C32" s="224" t="s">
        <v>5</v>
      </c>
      <c r="D32">
        <v>25</v>
      </c>
    </row>
    <row r="33" spans="2:8" x14ac:dyDescent="0.35">
      <c r="B33" t="s">
        <v>296</v>
      </c>
      <c r="C33" s="224" t="s">
        <v>5</v>
      </c>
      <c r="D33">
        <v>50</v>
      </c>
      <c r="E33">
        <v>50</v>
      </c>
    </row>
    <row r="34" spans="2:8" x14ac:dyDescent="0.35">
      <c r="B34" t="s">
        <v>300</v>
      </c>
      <c r="C34" s="224" t="s">
        <v>5</v>
      </c>
      <c r="D34">
        <f>SUM(D30:D33)</f>
        <v>100</v>
      </c>
      <c r="E34">
        <f>SUM(E30:E33)</f>
        <v>100</v>
      </c>
      <c r="F34">
        <f>SUM(F30:F33)</f>
        <v>100</v>
      </c>
      <c r="G34">
        <f>SUM(G30:G33)</f>
        <v>100</v>
      </c>
    </row>
    <row r="36" spans="2:8" x14ac:dyDescent="0.35">
      <c r="B36" s="399" t="s">
        <v>20</v>
      </c>
      <c r="C36" s="400"/>
      <c r="D36" s="401" t="s">
        <v>177</v>
      </c>
      <c r="E36" s="401" t="s">
        <v>198</v>
      </c>
      <c r="F36" s="401" t="s">
        <v>179</v>
      </c>
      <c r="G36" s="401" t="s">
        <v>199</v>
      </c>
      <c r="H36" s="347" t="s">
        <v>300</v>
      </c>
    </row>
    <row r="37" spans="2:8" x14ac:dyDescent="0.35">
      <c r="B37" s="397"/>
      <c r="C37" s="221"/>
      <c r="D37" s="221"/>
      <c r="E37" s="221"/>
      <c r="F37" s="221"/>
      <c r="G37" s="221"/>
      <c r="H37" s="398"/>
    </row>
    <row r="38" spans="2:8" x14ac:dyDescent="0.35">
      <c r="B38" s="340" t="s">
        <v>266</v>
      </c>
      <c r="C38" s="224" t="s">
        <v>272</v>
      </c>
      <c r="F38">
        <f>$F$30%*F7</f>
        <v>0.81899999999999995</v>
      </c>
      <c r="H38" s="359">
        <f>SUM(D38:G38)</f>
        <v>0.81899999999999995</v>
      </c>
    </row>
    <row r="39" spans="2:8" x14ac:dyDescent="0.35">
      <c r="B39" s="340" t="s">
        <v>267</v>
      </c>
      <c r="C39" s="224" t="s">
        <v>272</v>
      </c>
      <c r="F39">
        <f>$F$30%*F8</f>
        <v>0.58799999999999997</v>
      </c>
      <c r="H39" s="359">
        <f>SUM(D39:G39)</f>
        <v>0.58799999999999997</v>
      </c>
    </row>
    <row r="40" spans="2:8" x14ac:dyDescent="0.35">
      <c r="B40" s="340" t="s">
        <v>268</v>
      </c>
      <c r="C40" s="224" t="s">
        <v>272</v>
      </c>
      <c r="F40">
        <f>$F$30%*F9</f>
        <v>3.1639999999999997</v>
      </c>
      <c r="H40" s="359">
        <f>SUM(D40:G40)</f>
        <v>3.1639999999999997</v>
      </c>
    </row>
    <row r="41" spans="2:8" x14ac:dyDescent="0.35">
      <c r="B41" s="340" t="s">
        <v>269</v>
      </c>
      <c r="C41" s="224" t="s">
        <v>272</v>
      </c>
      <c r="F41" s="396">
        <f>$F$30%*F11</f>
        <v>0.86799999999999999</v>
      </c>
      <c r="H41" s="359">
        <f>SUM(D41:G41)</f>
        <v>0.86799999999999999</v>
      </c>
    </row>
    <row r="42" spans="2:8" ht="15" thickBot="1" x14ac:dyDescent="0.4">
      <c r="B42" s="352"/>
      <c r="C42" s="372"/>
      <c r="D42" s="343"/>
      <c r="E42" s="343"/>
      <c r="F42" s="343"/>
      <c r="G42" s="343"/>
      <c r="H42" s="385">
        <f>SUM(H38:H41)</f>
        <v>5.4390000000000001</v>
      </c>
    </row>
    <row r="43" spans="2:8" ht="15" thickTop="1" x14ac:dyDescent="0.35">
      <c r="H43" s="225"/>
    </row>
    <row r="44" spans="2:8" x14ac:dyDescent="0.35">
      <c r="B44" s="399" t="s">
        <v>285</v>
      </c>
      <c r="C44" s="400"/>
      <c r="D44" s="401" t="s">
        <v>177</v>
      </c>
      <c r="E44" s="401" t="s">
        <v>198</v>
      </c>
      <c r="F44" s="401" t="s">
        <v>179</v>
      </c>
      <c r="G44" s="401" t="s">
        <v>199</v>
      </c>
      <c r="H44" s="347" t="s">
        <v>300</v>
      </c>
    </row>
    <row r="45" spans="2:8" x14ac:dyDescent="0.35">
      <c r="B45" s="340"/>
      <c r="C45"/>
      <c r="H45" s="341"/>
    </row>
    <row r="46" spans="2:8" x14ac:dyDescent="0.35">
      <c r="B46" s="340" t="s">
        <v>266</v>
      </c>
      <c r="C46" s="224" t="s">
        <v>272</v>
      </c>
      <c r="D46" s="396">
        <f>D$31%*D7</f>
        <v>2.4824999999999999</v>
      </c>
      <c r="E46" s="396">
        <f>E$31%*E7</f>
        <v>1.77</v>
      </c>
      <c r="F46" s="396">
        <f>F$31%*F7</f>
        <v>0.35099999999999998</v>
      </c>
      <c r="G46" s="396">
        <f>G$31%*G7</f>
        <v>2.4500000000000002</v>
      </c>
      <c r="H46" s="359">
        <f>SUM(D46:G46)</f>
        <v>7.0534999999999997</v>
      </c>
    </row>
    <row r="47" spans="2:8" x14ac:dyDescent="0.35">
      <c r="B47" s="340" t="s">
        <v>267</v>
      </c>
      <c r="C47" s="224" t="s">
        <v>272</v>
      </c>
      <c r="D47" s="396">
        <f>D$31%*D8</f>
        <v>0.91500000000000004</v>
      </c>
      <c r="E47" s="396">
        <f t="shared" ref="E47:G48" si="1">E$31%*E8</f>
        <v>0.13</v>
      </c>
      <c r="F47" s="396">
        <f t="shared" si="1"/>
        <v>0.252</v>
      </c>
      <c r="G47" s="396">
        <f t="shared" si="1"/>
        <v>2.38</v>
      </c>
      <c r="H47" s="359">
        <f>SUM(D47:G47)</f>
        <v>3.6769999999999996</v>
      </c>
    </row>
    <row r="48" spans="2:8" x14ac:dyDescent="0.35">
      <c r="B48" s="340" t="s">
        <v>268</v>
      </c>
      <c r="C48" s="224" t="s">
        <v>272</v>
      </c>
      <c r="D48" s="396">
        <f>D$31%*D9</f>
        <v>1.7475000000000001</v>
      </c>
      <c r="E48" s="396">
        <f t="shared" si="1"/>
        <v>1.21</v>
      </c>
      <c r="F48" s="396">
        <f t="shared" si="1"/>
        <v>1.3559999999999999</v>
      </c>
      <c r="G48" s="396">
        <f t="shared" si="1"/>
        <v>5.17</v>
      </c>
      <c r="H48" s="359">
        <f>SUM(D48:G48)</f>
        <v>9.4834999999999994</v>
      </c>
    </row>
    <row r="49" spans="2:8" x14ac:dyDescent="0.35">
      <c r="B49" s="340" t="s">
        <v>269</v>
      </c>
      <c r="C49" s="224" t="s">
        <v>272</v>
      </c>
      <c r="D49" s="396">
        <f>D$31%*D11</f>
        <v>0.59750000000000003</v>
      </c>
      <c r="E49" s="396">
        <f>E$31%*E11</f>
        <v>1.26</v>
      </c>
      <c r="F49" s="396">
        <f>F$31%*F11</f>
        <v>0.372</v>
      </c>
      <c r="G49" s="396">
        <f>G$31%*G11</f>
        <v>0.13</v>
      </c>
      <c r="H49" s="359">
        <f>SUM(D49:G49)</f>
        <v>2.3594999999999997</v>
      </c>
    </row>
    <row r="50" spans="2:8" ht="15" thickBot="1" x14ac:dyDescent="0.4">
      <c r="B50" s="352"/>
      <c r="C50" s="372"/>
      <c r="D50" s="343"/>
      <c r="E50" s="343"/>
      <c r="F50" s="343"/>
      <c r="G50" s="343"/>
      <c r="H50" s="385">
        <f>SUM(H46:H49)</f>
        <v>22.573499999999999</v>
      </c>
    </row>
    <row r="51" spans="2:8" ht="15" thickTop="1" x14ac:dyDescent="0.35">
      <c r="H51" s="225"/>
    </row>
    <row r="52" spans="2:8" x14ac:dyDescent="0.35">
      <c r="B52" s="399" t="s">
        <v>286</v>
      </c>
      <c r="C52" s="400"/>
      <c r="D52" s="401" t="s">
        <v>177</v>
      </c>
      <c r="E52" s="401" t="s">
        <v>198</v>
      </c>
      <c r="F52" s="401" t="s">
        <v>179</v>
      </c>
      <c r="G52" s="401" t="s">
        <v>199</v>
      </c>
      <c r="H52" s="347" t="s">
        <v>300</v>
      </c>
    </row>
    <row r="53" spans="2:8" x14ac:dyDescent="0.35">
      <c r="B53" s="340"/>
      <c r="C53"/>
      <c r="D53" s="221"/>
      <c r="E53" s="221"/>
      <c r="F53" s="221"/>
      <c r="G53" s="221"/>
      <c r="H53" s="359"/>
    </row>
    <row r="54" spans="2:8" x14ac:dyDescent="0.35">
      <c r="B54" s="340" t="s">
        <v>266</v>
      </c>
      <c r="C54" s="224" t="s">
        <v>272</v>
      </c>
      <c r="D54">
        <f>D$32%*D7</f>
        <v>2.4824999999999999</v>
      </c>
      <c r="H54" s="359">
        <f>SUM(D54:G54)</f>
        <v>2.4824999999999999</v>
      </c>
    </row>
    <row r="55" spans="2:8" x14ac:dyDescent="0.35">
      <c r="B55" s="340" t="s">
        <v>267</v>
      </c>
      <c r="C55" s="224" t="s">
        <v>272</v>
      </c>
      <c r="D55" s="396">
        <f>D$32%*D8</f>
        <v>0.91500000000000004</v>
      </c>
      <c r="H55" s="359">
        <f>SUM(D55:G55)</f>
        <v>0.91500000000000004</v>
      </c>
    </row>
    <row r="56" spans="2:8" x14ac:dyDescent="0.35">
      <c r="B56" s="340" t="s">
        <v>268</v>
      </c>
      <c r="C56" s="224" t="s">
        <v>272</v>
      </c>
      <c r="D56" s="396">
        <f>D$32%*D9</f>
        <v>1.7475000000000001</v>
      </c>
      <c r="H56" s="359">
        <f>SUM(D56:G56)</f>
        <v>1.7475000000000001</v>
      </c>
    </row>
    <row r="57" spans="2:8" x14ac:dyDescent="0.35">
      <c r="B57" s="340" t="s">
        <v>269</v>
      </c>
      <c r="C57" s="224" t="s">
        <v>272</v>
      </c>
      <c r="D57" s="396">
        <f>D$32%*D11</f>
        <v>0.59750000000000003</v>
      </c>
      <c r="H57" s="359">
        <f>SUM(D57:G57)</f>
        <v>0.59750000000000003</v>
      </c>
    </row>
    <row r="58" spans="2:8" ht="15" thickBot="1" x14ac:dyDescent="0.4">
      <c r="B58" s="352"/>
      <c r="C58" s="372"/>
      <c r="D58" s="343"/>
      <c r="E58" s="343"/>
      <c r="F58" s="343"/>
      <c r="G58" s="343"/>
      <c r="H58" s="385">
        <f>SUM(H54:H57)</f>
        <v>5.7424999999999997</v>
      </c>
    </row>
    <row r="59" spans="2:8" ht="15" thickTop="1" x14ac:dyDescent="0.35">
      <c r="H59" s="225"/>
    </row>
    <row r="60" spans="2:8" x14ac:dyDescent="0.35">
      <c r="B60" s="399" t="s">
        <v>296</v>
      </c>
      <c r="C60" s="400"/>
      <c r="D60" s="401" t="s">
        <v>177</v>
      </c>
      <c r="E60" s="401" t="s">
        <v>198</v>
      </c>
      <c r="F60" s="401" t="s">
        <v>179</v>
      </c>
      <c r="G60" s="401" t="s">
        <v>199</v>
      </c>
      <c r="H60" s="347" t="s">
        <v>300</v>
      </c>
    </row>
    <row r="61" spans="2:8" x14ac:dyDescent="0.35">
      <c r="B61" s="340"/>
      <c r="C61"/>
      <c r="D61" s="221"/>
      <c r="E61" s="221"/>
      <c r="F61" s="221"/>
      <c r="G61" s="221"/>
      <c r="H61" s="359"/>
    </row>
    <row r="62" spans="2:8" x14ac:dyDescent="0.35">
      <c r="B62" s="340" t="s">
        <v>266</v>
      </c>
      <c r="C62" s="224" t="s">
        <v>272</v>
      </c>
      <c r="D62">
        <f t="shared" ref="D62:E64" si="2">D$33%*D7</f>
        <v>4.9649999999999999</v>
      </c>
      <c r="E62">
        <f t="shared" si="2"/>
        <v>1.77</v>
      </c>
      <c r="H62" s="359">
        <f>SUM(D62:G62)</f>
        <v>6.7349999999999994</v>
      </c>
    </row>
    <row r="63" spans="2:8" x14ac:dyDescent="0.35">
      <c r="B63" s="340" t="s">
        <v>267</v>
      </c>
      <c r="C63" s="224" t="s">
        <v>272</v>
      </c>
      <c r="D63">
        <f t="shared" si="2"/>
        <v>1.83</v>
      </c>
      <c r="E63">
        <f t="shared" si="2"/>
        <v>0.13</v>
      </c>
      <c r="H63" s="359">
        <f>SUM(D63:G63)</f>
        <v>1.96</v>
      </c>
    </row>
    <row r="64" spans="2:8" x14ac:dyDescent="0.35">
      <c r="B64" s="340" t="s">
        <v>268</v>
      </c>
      <c r="C64" s="224" t="s">
        <v>272</v>
      </c>
      <c r="D64">
        <f t="shared" si="2"/>
        <v>3.4950000000000001</v>
      </c>
      <c r="E64">
        <f t="shared" si="2"/>
        <v>1.21</v>
      </c>
      <c r="H64" s="359">
        <f>SUM(D64:G64)</f>
        <v>4.7050000000000001</v>
      </c>
    </row>
    <row r="65" spans="2:8" x14ac:dyDescent="0.35">
      <c r="B65" s="340" t="s">
        <v>269</v>
      </c>
      <c r="C65" s="224" t="s">
        <v>272</v>
      </c>
      <c r="D65">
        <f>D$33%*D11</f>
        <v>1.1950000000000001</v>
      </c>
      <c r="E65">
        <f>E$33%*E11</f>
        <v>1.26</v>
      </c>
      <c r="H65" s="359">
        <f>SUM(D65:G65)</f>
        <v>2.4550000000000001</v>
      </c>
    </row>
    <row r="66" spans="2:8" ht="15" thickBot="1" x14ac:dyDescent="0.4">
      <c r="B66" s="352"/>
      <c r="C66" s="372"/>
      <c r="D66" s="343"/>
      <c r="E66" s="343"/>
      <c r="F66" s="343"/>
      <c r="G66" s="343"/>
      <c r="H66" s="385">
        <f>SUM(H62:H65)</f>
        <v>15.855</v>
      </c>
    </row>
    <row r="67" spans="2:8" ht="15" thickTop="1" x14ac:dyDescent="0.35"/>
    <row r="68" spans="2:8" x14ac:dyDescent="0.35">
      <c r="H68" s="227"/>
    </row>
  </sheetData>
  <mergeCells count="1">
    <mergeCell ref="B2:G2"/>
  </mergeCells>
  <printOptions horizontalCentered="1"/>
  <pageMargins left="0.25" right="0.25" top="0.75" bottom="0.75" header="0.3" footer="0.3"/>
  <pageSetup orientation="landscape" horizontalDpi="4294967295" verticalDpi="4294967295" r:id="rId1"/>
  <headerFooter>
    <oddFooter>&amp;C&amp;1#&amp;"Calibri"&amp;10&amp;K737373EZDK Business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I26"/>
  <sheetViews>
    <sheetView showGridLines="0" workbookViewId="0">
      <selection activeCell="E8" sqref="E8"/>
    </sheetView>
  </sheetViews>
  <sheetFormatPr defaultColWidth="9.1796875" defaultRowHeight="14" x14ac:dyDescent="0.3"/>
  <cols>
    <col min="1" max="1" width="9.1796875" style="194"/>
    <col min="2" max="2" width="31" style="194" bestFit="1" customWidth="1"/>
    <col min="3" max="3" width="10.54296875" style="194" bestFit="1" customWidth="1"/>
    <col min="4" max="4" width="9.1796875" style="194"/>
    <col min="5" max="5" width="15" style="194" customWidth="1"/>
    <col min="6" max="6" width="13.26953125" style="194" customWidth="1"/>
    <col min="7" max="8" width="9.1796875" style="194"/>
    <col min="9" max="9" width="9.453125" style="194" bestFit="1" customWidth="1"/>
    <col min="10" max="16384" width="9.1796875" style="194"/>
  </cols>
  <sheetData>
    <row r="1" spans="2:9" ht="14.5" thickBot="1" x14ac:dyDescent="0.35"/>
    <row r="2" spans="2:9" ht="14.5" thickBot="1" x14ac:dyDescent="0.35">
      <c r="B2" s="790" t="s">
        <v>196</v>
      </c>
      <c r="C2" s="791"/>
      <c r="D2" s="791"/>
      <c r="E2" s="792"/>
      <c r="F2" s="205">
        <f ca="1">+'Fixed Cost'!H2</f>
        <v>46303</v>
      </c>
    </row>
    <row r="3" spans="2:9" ht="14.5" thickBot="1" x14ac:dyDescent="0.35"/>
    <row r="4" spans="2:9" s="377" customFormat="1" ht="14.5" thickBot="1" x14ac:dyDescent="0.35">
      <c r="B4" s="378" t="s">
        <v>173</v>
      </c>
      <c r="C4" s="379" t="s">
        <v>178</v>
      </c>
      <c r="D4" s="379"/>
      <c r="E4" s="379" t="s">
        <v>177</v>
      </c>
      <c r="F4" s="380" t="s">
        <v>179</v>
      </c>
    </row>
    <row r="6" spans="2:9" x14ac:dyDescent="0.3">
      <c r="B6" s="339" t="s">
        <v>190</v>
      </c>
      <c r="C6" s="196" t="s">
        <v>191</v>
      </c>
      <c r="D6" s="196"/>
      <c r="E6" s="789">
        <f>+'Fixed Cost'!D15</f>
        <v>16.2</v>
      </c>
      <c r="F6" s="789"/>
      <c r="G6" s="198"/>
    </row>
    <row r="7" spans="2:9" x14ac:dyDescent="0.3">
      <c r="B7" s="339"/>
      <c r="C7" s="196"/>
      <c r="D7" s="196"/>
      <c r="E7" s="199"/>
      <c r="F7" s="199"/>
      <c r="G7" s="198"/>
    </row>
    <row r="8" spans="2:9" x14ac:dyDescent="0.3">
      <c r="B8" s="339" t="s">
        <v>174</v>
      </c>
      <c r="C8" s="196" t="s">
        <v>186</v>
      </c>
      <c r="D8" s="196"/>
      <c r="E8" s="199">
        <v>130</v>
      </c>
      <c r="F8" s="199">
        <v>136.62</v>
      </c>
      <c r="G8" s="198"/>
    </row>
    <row r="9" spans="2:9" x14ac:dyDescent="0.3">
      <c r="B9" s="339" t="s">
        <v>175</v>
      </c>
      <c r="C9" s="196" t="s">
        <v>187</v>
      </c>
      <c r="D9" s="196"/>
      <c r="E9" s="199">
        <v>5.5</v>
      </c>
      <c r="F9" s="199">
        <v>5.5</v>
      </c>
      <c r="G9" s="198"/>
    </row>
    <row r="10" spans="2:9" x14ac:dyDescent="0.3">
      <c r="B10" s="339"/>
      <c r="C10" s="196"/>
      <c r="D10" s="196"/>
      <c r="E10" s="199"/>
      <c r="F10" s="199"/>
      <c r="G10" s="198"/>
    </row>
    <row r="11" spans="2:9" x14ac:dyDescent="0.3">
      <c r="B11" s="339" t="s">
        <v>149</v>
      </c>
      <c r="C11" s="196" t="s">
        <v>188</v>
      </c>
      <c r="D11" s="196"/>
      <c r="E11" s="199">
        <v>1.5</v>
      </c>
      <c r="F11" s="199">
        <v>1.43</v>
      </c>
      <c r="G11" s="198"/>
    </row>
    <row r="12" spans="2:9" x14ac:dyDescent="0.3">
      <c r="B12" s="339" t="s">
        <v>176</v>
      </c>
      <c r="C12" s="196" t="s">
        <v>189</v>
      </c>
      <c r="D12" s="196"/>
      <c r="E12" s="199">
        <v>292.58</v>
      </c>
      <c r="F12" s="199">
        <v>333</v>
      </c>
      <c r="G12" s="198"/>
    </row>
    <row r="13" spans="2:9" x14ac:dyDescent="0.3">
      <c r="B13" s="195"/>
      <c r="C13" s="196"/>
      <c r="E13" s="199"/>
      <c r="F13" s="199"/>
      <c r="G13" s="198"/>
    </row>
    <row r="14" spans="2:9" x14ac:dyDescent="0.3">
      <c r="B14" s="793" t="s">
        <v>180</v>
      </c>
      <c r="C14" s="794"/>
      <c r="D14" s="794"/>
      <c r="E14" s="794"/>
      <c r="F14" s="795"/>
      <c r="G14" s="198"/>
    </row>
    <row r="15" spans="2:9" x14ac:dyDescent="0.3">
      <c r="B15" s="328"/>
      <c r="C15" s="196"/>
      <c r="E15" s="199"/>
      <c r="F15" s="329"/>
      <c r="G15" s="198"/>
    </row>
    <row r="16" spans="2:9" x14ac:dyDescent="0.3">
      <c r="B16" s="328" t="s">
        <v>181</v>
      </c>
      <c r="C16" s="196" t="s">
        <v>186</v>
      </c>
      <c r="E16" s="199">
        <f>+E8</f>
        <v>130</v>
      </c>
      <c r="F16" s="329">
        <f>+F8</f>
        <v>136.62</v>
      </c>
      <c r="G16" s="198"/>
      <c r="I16" s="201"/>
    </row>
    <row r="17" spans="2:9" x14ac:dyDescent="0.3">
      <c r="B17" s="328"/>
      <c r="C17" s="196"/>
      <c r="E17" s="198"/>
      <c r="F17" s="330"/>
      <c r="G17" s="198"/>
      <c r="I17" s="201"/>
    </row>
    <row r="18" spans="2:9" x14ac:dyDescent="0.3">
      <c r="B18" s="328" t="s">
        <v>182</v>
      </c>
      <c r="C18" s="196" t="s">
        <v>186</v>
      </c>
      <c r="E18" s="326">
        <f>+(E11-1)*E16</f>
        <v>65</v>
      </c>
      <c r="F18" s="331">
        <f>+(F11-1)*F16</f>
        <v>58.746599999999994</v>
      </c>
      <c r="I18" s="201"/>
    </row>
    <row r="19" spans="2:9" x14ac:dyDescent="0.3">
      <c r="B19" s="328" t="s">
        <v>183</v>
      </c>
      <c r="C19" s="196" t="s">
        <v>186</v>
      </c>
      <c r="E19" s="327">
        <f>+SUM('DRI Cost'!E53:E61)/'DRI Cost'!E6</f>
        <v>67.421286375661396</v>
      </c>
      <c r="F19" s="331">
        <f>+SUM('DRI Cost'!G53:G61)/'DRI Cost'!G6</f>
        <v>70.304900793650802</v>
      </c>
    </row>
    <row r="20" spans="2:9" x14ac:dyDescent="0.3">
      <c r="B20" s="328" t="s">
        <v>184</v>
      </c>
      <c r="C20" s="196" t="s">
        <v>186</v>
      </c>
      <c r="E20" s="327">
        <f>+SUM(E18:E19)</f>
        <v>132.4212863756614</v>
      </c>
      <c r="F20" s="332">
        <f>+SUM(F18:F19)</f>
        <v>129.0515007936508</v>
      </c>
    </row>
    <row r="21" spans="2:9" x14ac:dyDescent="0.3">
      <c r="B21" s="328"/>
      <c r="C21" s="196"/>
      <c r="F21" s="333"/>
    </row>
    <row r="22" spans="2:9" ht="14.5" thickBot="1" x14ac:dyDescent="0.35">
      <c r="B22" s="334" t="s">
        <v>185</v>
      </c>
      <c r="C22" s="335" t="s">
        <v>186</v>
      </c>
      <c r="D22" s="336"/>
      <c r="E22" s="337">
        <f>+E20+E16</f>
        <v>262.4212863756614</v>
      </c>
      <c r="F22" s="338">
        <f>+F20+F16</f>
        <v>265.67150079365081</v>
      </c>
    </row>
    <row r="23" spans="2:9" ht="14.5" thickTop="1" x14ac:dyDescent="0.3"/>
    <row r="24" spans="2:9" x14ac:dyDescent="0.3">
      <c r="G24" s="376">
        <f>1+'Fixed Cost'!D26</f>
        <v>2</v>
      </c>
      <c r="H24" s="377" t="s">
        <v>388</v>
      </c>
    </row>
    <row r="26" spans="2:9" x14ac:dyDescent="0.3">
      <c r="F26" s="580"/>
    </row>
  </sheetData>
  <mergeCells count="3">
    <mergeCell ref="E6:F6"/>
    <mergeCell ref="B2:E2"/>
    <mergeCell ref="B14:F14"/>
  </mergeCells>
  <printOptions horizontalCentered="1" verticalCentered="1"/>
  <pageMargins left="0.25" right="0.25" top="0.75" bottom="0.75" header="0.3" footer="0.3"/>
  <pageSetup scale="82" orientation="landscape" horizontalDpi="4294967295" verticalDpi="4294967295" r:id="rId1"/>
  <headerFooter>
    <oddFooter>&amp;C&amp;1#&amp;"Calibri"&amp;10&amp;K737373EZDK Business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B1:K54"/>
  <sheetViews>
    <sheetView showGridLines="0" topLeftCell="A7" zoomScaleNormal="100" workbookViewId="0">
      <selection activeCell="H18" sqref="H18"/>
    </sheetView>
  </sheetViews>
  <sheetFormatPr defaultRowHeight="14.5" x14ac:dyDescent="0.35"/>
  <cols>
    <col min="2" max="2" width="30.54296875" bestFit="1" customWidth="1"/>
    <col min="5" max="5" width="16.1796875" customWidth="1"/>
    <col min="6" max="6" width="10.7265625" customWidth="1"/>
    <col min="7" max="7" width="11.54296875" customWidth="1"/>
    <col min="8" max="8" width="10.54296875" bestFit="1" customWidth="1"/>
    <col min="11" max="11" width="9.54296875" bestFit="1" customWidth="1"/>
  </cols>
  <sheetData>
    <row r="1" spans="2:7" ht="15" thickBot="1" x14ac:dyDescent="0.4"/>
    <row r="2" spans="2:7" ht="15" thickBot="1" x14ac:dyDescent="0.4">
      <c r="B2" s="796" t="s">
        <v>197</v>
      </c>
      <c r="C2" s="797"/>
      <c r="D2" s="797"/>
      <c r="E2" s="797"/>
      <c r="F2" s="798"/>
      <c r="G2" s="246">
        <f ca="1">+DRI!F2</f>
        <v>46303</v>
      </c>
    </row>
    <row r="3" spans="2:7" ht="15" thickBot="1" x14ac:dyDescent="0.4">
      <c r="B3" s="221"/>
      <c r="C3" s="221"/>
      <c r="D3" s="221"/>
      <c r="E3" s="221"/>
      <c r="F3" s="221"/>
      <c r="G3" s="221"/>
    </row>
    <row r="4" spans="2:7" ht="15" thickBot="1" x14ac:dyDescent="0.4">
      <c r="B4" s="355" t="s">
        <v>173</v>
      </c>
      <c r="C4" s="356" t="s">
        <v>178</v>
      </c>
      <c r="D4" s="356"/>
      <c r="E4" s="357" t="s">
        <v>177</v>
      </c>
      <c r="F4" s="357" t="s">
        <v>198</v>
      </c>
      <c r="G4" s="358" t="s">
        <v>199</v>
      </c>
    </row>
    <row r="5" spans="2:7" x14ac:dyDescent="0.35">
      <c r="E5" s="224"/>
      <c r="F5" s="224"/>
      <c r="G5" s="224"/>
    </row>
    <row r="6" spans="2:7" x14ac:dyDescent="0.35">
      <c r="B6" t="s">
        <v>252</v>
      </c>
      <c r="C6" t="s">
        <v>186</v>
      </c>
      <c r="E6" s="224"/>
      <c r="F6" s="228">
        <v>1.6285248904469698</v>
      </c>
      <c r="G6" s="222">
        <v>8.9885248904469925</v>
      </c>
    </row>
    <row r="7" spans="2:7" x14ac:dyDescent="0.35">
      <c r="B7" t="s">
        <v>190</v>
      </c>
      <c r="C7" t="s">
        <v>191</v>
      </c>
      <c r="D7" s="237">
        <f>+'Fixed Cost'!D15</f>
        <v>16.2</v>
      </c>
    </row>
    <row r="8" spans="2:7" x14ac:dyDescent="0.35">
      <c r="B8" t="s">
        <v>200</v>
      </c>
      <c r="C8" t="s">
        <v>186</v>
      </c>
      <c r="E8" s="247">
        <f>+DRI!E22</f>
        <v>262.4212863756614</v>
      </c>
      <c r="F8" s="247">
        <f>+DRI!F22+(F6)</f>
        <v>267.30002568409776</v>
      </c>
      <c r="G8" s="247">
        <f>+DRI!F22+(G6)</f>
        <v>274.66002568409777</v>
      </c>
    </row>
    <row r="9" spans="2:7" x14ac:dyDescent="0.35">
      <c r="B9" t="s">
        <v>201</v>
      </c>
      <c r="C9" t="s">
        <v>186</v>
      </c>
      <c r="E9" s="224">
        <v>300</v>
      </c>
      <c r="F9" s="224">
        <v>248.87</v>
      </c>
      <c r="G9" s="224">
        <f>+E9</f>
        <v>300</v>
      </c>
    </row>
    <row r="10" spans="2:7" x14ac:dyDescent="0.35">
      <c r="B10" t="s">
        <v>202</v>
      </c>
      <c r="C10" t="s">
        <v>186</v>
      </c>
      <c r="E10" s="224">
        <v>300</v>
      </c>
      <c r="F10" s="224">
        <v>267.27</v>
      </c>
      <c r="G10" s="224">
        <f>+E10</f>
        <v>300</v>
      </c>
    </row>
    <row r="11" spans="2:7" x14ac:dyDescent="0.35">
      <c r="B11" t="s">
        <v>203</v>
      </c>
      <c r="C11" t="s">
        <v>44</v>
      </c>
      <c r="E11" s="224">
        <v>7.0000000000000007E-2</v>
      </c>
      <c r="F11" s="224">
        <v>7.0000000000000007E-2</v>
      </c>
      <c r="G11" s="224">
        <v>7.0000000000000001E-3</v>
      </c>
    </row>
    <row r="12" spans="2:7" x14ac:dyDescent="0.35">
      <c r="E12" s="224"/>
    </row>
    <row r="13" spans="2:7" x14ac:dyDescent="0.35">
      <c r="B13" t="s">
        <v>204</v>
      </c>
      <c r="C13" t="s">
        <v>5</v>
      </c>
      <c r="E13" s="229">
        <v>80</v>
      </c>
      <c r="F13" s="231">
        <v>80</v>
      </c>
      <c r="G13" s="231">
        <v>20</v>
      </c>
    </row>
    <row r="14" spans="2:7" x14ac:dyDescent="0.35">
      <c r="B14" t="s">
        <v>19</v>
      </c>
      <c r="C14" t="s">
        <v>5</v>
      </c>
      <c r="E14" s="229">
        <v>4</v>
      </c>
      <c r="F14" s="229">
        <v>14</v>
      </c>
      <c r="G14" s="231">
        <v>16.013300000000001</v>
      </c>
    </row>
    <row r="15" spans="2:7" x14ac:dyDescent="0.35">
      <c r="B15" t="s">
        <v>18</v>
      </c>
      <c r="C15" t="s">
        <v>5</v>
      </c>
      <c r="E15" s="229">
        <v>15.977</v>
      </c>
      <c r="F15" s="229">
        <v>5.9779999999999998</v>
      </c>
      <c r="G15" s="231">
        <v>63.986699999999999</v>
      </c>
    </row>
    <row r="16" spans="2:7" x14ac:dyDescent="0.35">
      <c r="E16" s="224"/>
    </row>
    <row r="17" spans="2:8" x14ac:dyDescent="0.35">
      <c r="B17" t="s">
        <v>193</v>
      </c>
      <c r="C17" t="s">
        <v>5</v>
      </c>
      <c r="E17" s="224">
        <v>84.93</v>
      </c>
      <c r="F17" s="221">
        <v>84.17</v>
      </c>
      <c r="G17" s="221">
        <v>87.35</v>
      </c>
    </row>
    <row r="18" spans="2:8" x14ac:dyDescent="0.35">
      <c r="B18" t="s">
        <v>205</v>
      </c>
      <c r="C18" t="s">
        <v>5</v>
      </c>
      <c r="E18" s="224">
        <v>99.38</v>
      </c>
      <c r="F18" s="221">
        <v>98.05</v>
      </c>
      <c r="G18" s="221">
        <v>98.5</v>
      </c>
    </row>
    <row r="19" spans="2:8" hidden="1" x14ac:dyDescent="0.35">
      <c r="B19" t="s">
        <v>213</v>
      </c>
      <c r="C19" t="s">
        <v>5</v>
      </c>
      <c r="E19" s="225">
        <f>+E18*E17/100</f>
        <v>84.403434000000004</v>
      </c>
      <c r="F19" s="225">
        <f>+F18*F17/100</f>
        <v>82.52868500000001</v>
      </c>
      <c r="G19" s="225">
        <f>+G18*G17/100</f>
        <v>86.039749999999984</v>
      </c>
    </row>
    <row r="20" spans="2:8" x14ac:dyDescent="0.35">
      <c r="B20" t="s">
        <v>209</v>
      </c>
      <c r="C20" t="s">
        <v>212</v>
      </c>
      <c r="E20" s="224">
        <v>713.63</v>
      </c>
      <c r="F20" s="221">
        <v>708.39</v>
      </c>
      <c r="G20" s="221">
        <v>597.1</v>
      </c>
    </row>
    <row r="21" spans="2:8" x14ac:dyDescent="0.35">
      <c r="E21" s="224"/>
    </row>
    <row r="22" spans="2:8" x14ac:dyDescent="0.35">
      <c r="B22" s="799" t="s">
        <v>180</v>
      </c>
      <c r="C22" s="800"/>
      <c r="D22" s="800"/>
      <c r="E22" s="800"/>
      <c r="F22" s="800"/>
      <c r="G22" s="800"/>
      <c r="H22" s="801"/>
    </row>
    <row r="23" spans="2:8" x14ac:dyDescent="0.35">
      <c r="B23" s="340"/>
      <c r="E23" s="224"/>
      <c r="H23" s="341"/>
    </row>
    <row r="24" spans="2:8" x14ac:dyDescent="0.35">
      <c r="B24" s="340" t="s">
        <v>210</v>
      </c>
      <c r="C24" t="s">
        <v>186</v>
      </c>
      <c r="E24" s="225">
        <f>E8*E13%+E9*E14%+E10*E15%</f>
        <v>269.8680291005291</v>
      </c>
      <c r="F24" s="225">
        <f>F8*F13%+F9*F14%+F10*F15%</f>
        <v>264.65922114727823</v>
      </c>
      <c r="G24" s="225">
        <f>G8*G13%+G9*G14%+G10*G15%</f>
        <v>294.9320051368195</v>
      </c>
      <c r="H24" s="341"/>
    </row>
    <row r="25" spans="2:8" x14ac:dyDescent="0.35">
      <c r="B25" s="340"/>
      <c r="H25" s="341"/>
    </row>
    <row r="26" spans="2:8" x14ac:dyDescent="0.35">
      <c r="B26" s="340" t="s">
        <v>211</v>
      </c>
      <c r="C26" t="s">
        <v>186</v>
      </c>
      <c r="E26" s="223">
        <f>+((1/(E17%*E18%)-1)*E8*E13%+((1/(E17%*E18%)-1))*E9*E14%+((1/(E17%*E18%))-1)*E10*E15%)</f>
        <v>49.867811387346229</v>
      </c>
      <c r="F26" s="223">
        <f>+((1/(F17%*F18%)-1)*F8*F13%+((1/(F17%*F18%)-1))*F9*F14%+((1/(F17%*F18%))-1)*F10*F15%)</f>
        <v>56.028332698125062</v>
      </c>
      <c r="G26" s="223">
        <f>+((1/(G17%*G18%)-1)*G8*G13%+((1/(G17%*G18%)-1))*G9*G14%+((1/(G17%*G18%))-1)*G10*G15%)</f>
        <v>47.853748118878613</v>
      </c>
      <c r="H26" s="341"/>
    </row>
    <row r="27" spans="2:8" x14ac:dyDescent="0.35">
      <c r="B27" s="340" t="s">
        <v>183</v>
      </c>
      <c r="C27" t="s">
        <v>186</v>
      </c>
      <c r="E27" s="223">
        <f>+'EZDK Rebar'!J270</f>
        <v>119.16395824256901</v>
      </c>
      <c r="F27" s="225">
        <f>+'EFS Rebar'!J270</f>
        <v>130.70155184951761</v>
      </c>
      <c r="G27" s="342">
        <f>+SUM('ESR Rebar'!E80:E95)</f>
        <v>120.68527649860715</v>
      </c>
      <c r="H27" s="341"/>
    </row>
    <row r="28" spans="2:8" x14ac:dyDescent="0.35">
      <c r="B28" s="340" t="s">
        <v>184</v>
      </c>
      <c r="C28" t="s">
        <v>186</v>
      </c>
      <c r="E28" s="225">
        <f>+E26+E27</f>
        <v>169.03176962991523</v>
      </c>
      <c r="F28" s="225">
        <f>+F26+F27</f>
        <v>186.72988454764268</v>
      </c>
      <c r="G28" s="225">
        <f>+G26+G27</f>
        <v>168.53902461748578</v>
      </c>
      <c r="H28" s="341"/>
    </row>
    <row r="29" spans="2:8" x14ac:dyDescent="0.35">
      <c r="B29" s="340"/>
      <c r="H29" s="341"/>
    </row>
    <row r="30" spans="2:8" ht="15" thickBot="1" x14ac:dyDescent="0.4">
      <c r="B30" s="334" t="s">
        <v>185</v>
      </c>
      <c r="C30" s="343" t="s">
        <v>186</v>
      </c>
      <c r="D30" s="343"/>
      <c r="E30" s="344">
        <f>+E28+E24</f>
        <v>438.89979873044433</v>
      </c>
      <c r="F30" s="344">
        <f>+F28+F24</f>
        <v>451.38910569492089</v>
      </c>
      <c r="G30" s="344">
        <f>+G28+G24</f>
        <v>463.47102975430528</v>
      </c>
      <c r="H30" s="345"/>
    </row>
    <row r="31" spans="2:8" ht="15" thickTop="1" x14ac:dyDescent="0.35">
      <c r="E31" s="227"/>
    </row>
    <row r="33" spans="2:11" s="364" customFormat="1" x14ac:dyDescent="0.35">
      <c r="B33" s="360" t="s">
        <v>230</v>
      </c>
      <c r="C33" s="361" t="s">
        <v>234</v>
      </c>
      <c r="D33" s="361"/>
      <c r="E33" s="362" t="s">
        <v>177</v>
      </c>
      <c r="F33" s="362" t="s">
        <v>198</v>
      </c>
      <c r="G33" s="362" t="s">
        <v>179</v>
      </c>
      <c r="H33" s="363" t="s">
        <v>199</v>
      </c>
      <c r="K33" s="581">
        <f>G24*16.3</f>
        <v>4807.3916837301576</v>
      </c>
    </row>
    <row r="34" spans="2:11" x14ac:dyDescent="0.35">
      <c r="B34" s="340"/>
      <c r="E34" s="224"/>
      <c r="F34" s="224"/>
      <c r="G34" s="224"/>
      <c r="H34" s="359"/>
      <c r="K34" s="581">
        <f>(G28+21)*16.3</f>
        <v>3089.4861012650185</v>
      </c>
    </row>
    <row r="35" spans="2:11" x14ac:dyDescent="0.35">
      <c r="B35" s="340" t="s">
        <v>231</v>
      </c>
      <c r="E35" s="222">
        <v>1.0410868124585813</v>
      </c>
      <c r="F35" s="228">
        <v>1.0384615384615383</v>
      </c>
      <c r="H35" s="348">
        <v>1.0404567699836869</v>
      </c>
    </row>
    <row r="36" spans="2:11" x14ac:dyDescent="0.35">
      <c r="B36" s="340" t="s">
        <v>123</v>
      </c>
      <c r="E36" s="228">
        <v>1.0174192937612401</v>
      </c>
      <c r="H36" s="341"/>
    </row>
    <row r="37" spans="2:11" x14ac:dyDescent="0.35">
      <c r="B37" s="340"/>
      <c r="H37" s="341"/>
    </row>
    <row r="38" spans="2:11" x14ac:dyDescent="0.35">
      <c r="B38" s="340" t="s">
        <v>232</v>
      </c>
      <c r="H38" s="341"/>
    </row>
    <row r="39" spans="2:11" x14ac:dyDescent="0.35">
      <c r="B39" s="340" t="s">
        <v>177</v>
      </c>
      <c r="C39" t="s">
        <v>186</v>
      </c>
      <c r="E39" s="247">
        <f>+E30</f>
        <v>438.89979873044433</v>
      </c>
      <c r="F39" s="225">
        <f>+E30*E35</f>
        <v>456.93279244899117</v>
      </c>
      <c r="G39" s="225">
        <v>429.88</v>
      </c>
      <c r="H39" s="349">
        <f>+E30*E35</f>
        <v>456.93279244899117</v>
      </c>
    </row>
    <row r="40" spans="2:11" x14ac:dyDescent="0.35">
      <c r="B40" s="340" t="s">
        <v>198</v>
      </c>
      <c r="C40" t="s">
        <v>186</v>
      </c>
      <c r="E40" s="225">
        <f>+F30*F35</f>
        <v>468.75022514472545</v>
      </c>
      <c r="F40" s="247">
        <f>+F30</f>
        <v>451.38910569492089</v>
      </c>
      <c r="G40" s="223">
        <f>+F30*F35</f>
        <v>468.75022514472545</v>
      </c>
      <c r="H40" s="349">
        <f>+F30*F35</f>
        <v>468.75022514472545</v>
      </c>
    </row>
    <row r="41" spans="2:11" x14ac:dyDescent="0.35">
      <c r="B41" s="340" t="s">
        <v>199</v>
      </c>
      <c r="C41" t="s">
        <v>186</v>
      </c>
      <c r="E41" s="225">
        <f>+G30*H35</f>
        <v>482.22157059917771</v>
      </c>
      <c r="F41" s="225">
        <f>+G30*H35</f>
        <v>482.22157059917771</v>
      </c>
      <c r="G41" s="223">
        <f>+G30*(H35)</f>
        <v>482.22157059917771</v>
      </c>
      <c r="H41" s="349">
        <f>+G30</f>
        <v>463.47102975430528</v>
      </c>
    </row>
    <row r="42" spans="2:11" x14ac:dyDescent="0.35">
      <c r="B42" s="340" t="s">
        <v>233</v>
      </c>
      <c r="C42" t="s">
        <v>186</v>
      </c>
      <c r="E42" s="221">
        <f>+E52</f>
        <v>514.36</v>
      </c>
      <c r="F42" s="342">
        <f>E52</f>
        <v>514.36</v>
      </c>
      <c r="G42" s="342">
        <f>E52</f>
        <v>514.36</v>
      </c>
      <c r="H42" s="351">
        <f>E52</f>
        <v>514.36</v>
      </c>
    </row>
    <row r="43" spans="2:11" x14ac:dyDescent="0.35">
      <c r="B43" s="340"/>
      <c r="E43" s="237"/>
      <c r="H43" s="341"/>
    </row>
    <row r="44" spans="2:11" ht="15" thickBot="1" x14ac:dyDescent="0.4">
      <c r="B44" s="352" t="s">
        <v>235</v>
      </c>
      <c r="C44" s="343" t="s">
        <v>186</v>
      </c>
      <c r="D44" s="343"/>
      <c r="E44" s="353">
        <f>MIN(E39:E42)</f>
        <v>438.89979873044433</v>
      </c>
      <c r="F44" s="353">
        <f>MIN(F39:F42)</f>
        <v>451.38910569492089</v>
      </c>
      <c r="G44" s="353">
        <f>MIN(G39:G42)</f>
        <v>429.88</v>
      </c>
      <c r="H44" s="354">
        <f>MIN(H39:H42)</f>
        <v>456.93279244899117</v>
      </c>
    </row>
    <row r="45" spans="2:11" ht="15" thickTop="1" x14ac:dyDescent="0.35"/>
    <row r="46" spans="2:11" x14ac:dyDescent="0.35">
      <c r="B46" s="802" t="s">
        <v>247</v>
      </c>
      <c r="C46" s="802"/>
      <c r="D46" s="802"/>
      <c r="E46" s="802"/>
    </row>
    <row r="47" spans="2:11" x14ac:dyDescent="0.35">
      <c r="B47" s="368"/>
      <c r="C47" s="368"/>
      <c r="D47" s="368"/>
      <c r="E47" s="368"/>
    </row>
    <row r="48" spans="2:11" x14ac:dyDescent="0.35">
      <c r="B48" t="s">
        <v>244</v>
      </c>
      <c r="C48" t="s">
        <v>186</v>
      </c>
      <c r="E48" s="224">
        <v>428</v>
      </c>
    </row>
    <row r="49" spans="2:9" x14ac:dyDescent="0.35">
      <c r="B49" t="s">
        <v>245</v>
      </c>
      <c r="C49" t="s">
        <v>186</v>
      </c>
      <c r="E49" s="230">
        <v>74</v>
      </c>
    </row>
    <row r="50" spans="2:9" x14ac:dyDescent="0.35">
      <c r="B50" t="s">
        <v>246</v>
      </c>
      <c r="C50" t="s">
        <v>186</v>
      </c>
      <c r="E50" s="224">
        <v>12.36</v>
      </c>
    </row>
    <row r="51" spans="2:9" x14ac:dyDescent="0.35">
      <c r="E51" s="224"/>
    </row>
    <row r="52" spans="2:9" ht="15" thickBot="1" x14ac:dyDescent="0.4">
      <c r="B52" s="365" t="s">
        <v>248</v>
      </c>
      <c r="C52" s="366" t="s">
        <v>186</v>
      </c>
      <c r="D52" s="366"/>
      <c r="E52" s="367">
        <f>+SUM(E48:E50)</f>
        <v>514.36</v>
      </c>
    </row>
    <row r="53" spans="2:9" ht="15" thickTop="1" x14ac:dyDescent="0.35">
      <c r="E53" s="224"/>
    </row>
    <row r="54" spans="2:9" x14ac:dyDescent="0.35">
      <c r="H54" s="376">
        <f>1+DRI!G24</f>
        <v>3</v>
      </c>
      <c r="I54" s="377" t="s">
        <v>388</v>
      </c>
    </row>
  </sheetData>
  <mergeCells count="3">
    <mergeCell ref="B2:F2"/>
    <mergeCell ref="B22:H22"/>
    <mergeCell ref="B46:E46"/>
  </mergeCells>
  <printOptions horizontalCentered="1"/>
  <pageMargins left="0.25" right="0.25" top="0.75" bottom="0.75" header="0.3" footer="0.3"/>
  <pageSetup scale="65" orientation="landscape" horizontalDpi="4294967295" verticalDpi="4294967295" r:id="rId1"/>
  <headerFooter>
    <oddFooter>&amp;C&amp;1#&amp;"Calibri"&amp;10&amp;K737373EZDK Business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pageSetUpPr fitToPage="1"/>
  </sheetPr>
  <dimension ref="B1:I36"/>
  <sheetViews>
    <sheetView showGridLines="0" zoomScaleNormal="100" workbookViewId="0">
      <selection activeCell="G15" sqref="G15:G16"/>
    </sheetView>
  </sheetViews>
  <sheetFormatPr defaultRowHeight="14.5" x14ac:dyDescent="0.35"/>
  <cols>
    <col min="2" max="2" width="31" bestFit="1" customWidth="1"/>
    <col min="3" max="3" width="9.1796875" style="224"/>
  </cols>
  <sheetData>
    <row r="1" spans="2:8" ht="15" thickBot="1" x14ac:dyDescent="0.4"/>
    <row r="2" spans="2:8" ht="15" thickBot="1" x14ac:dyDescent="0.4">
      <c r="B2" s="796" t="s">
        <v>236</v>
      </c>
      <c r="C2" s="797"/>
      <c r="D2" s="797"/>
      <c r="E2" s="797"/>
      <c r="F2" s="797"/>
      <c r="G2" s="798"/>
      <c r="H2" s="382">
        <f ca="1">+Billet!G2</f>
        <v>46303</v>
      </c>
    </row>
    <row r="3" spans="2:8" ht="15" thickBot="1" x14ac:dyDescent="0.4"/>
    <row r="4" spans="2:8" ht="15" thickBot="1" x14ac:dyDescent="0.4">
      <c r="B4" s="355" t="s">
        <v>230</v>
      </c>
      <c r="C4" s="357" t="s">
        <v>234</v>
      </c>
      <c r="D4" s="356"/>
      <c r="E4" s="369" t="s">
        <v>177</v>
      </c>
      <c r="F4" s="369" t="s">
        <v>198</v>
      </c>
      <c r="G4" s="369" t="s">
        <v>179</v>
      </c>
      <c r="H4" s="370" t="s">
        <v>199</v>
      </c>
    </row>
    <row r="5" spans="2:8" x14ac:dyDescent="0.35">
      <c r="E5" s="221"/>
      <c r="F5" s="221"/>
      <c r="G5" s="221"/>
      <c r="H5" s="221"/>
    </row>
    <row r="6" spans="2:8" x14ac:dyDescent="0.35">
      <c r="B6" t="s">
        <v>237</v>
      </c>
      <c r="C6" s="224" t="s">
        <v>5</v>
      </c>
      <c r="E6" s="224">
        <v>93.62</v>
      </c>
      <c r="F6" s="224">
        <v>97.09</v>
      </c>
      <c r="G6" s="225">
        <v>97.917872494526449</v>
      </c>
      <c r="H6" s="225">
        <v>96.822729444709296</v>
      </c>
    </row>
    <row r="7" spans="2:8" ht="15" thickBot="1" x14ac:dyDescent="0.4"/>
    <row r="8" spans="2:8" ht="15" thickBot="1" x14ac:dyDescent="0.4">
      <c r="B8" s="796" t="s">
        <v>238</v>
      </c>
      <c r="C8" s="797"/>
      <c r="D8" s="797"/>
      <c r="E8" s="797"/>
      <c r="F8" s="797"/>
      <c r="G8" s="797"/>
      <c r="H8" s="798"/>
    </row>
    <row r="10" spans="2:8" x14ac:dyDescent="0.35">
      <c r="B10" s="799" t="s">
        <v>180</v>
      </c>
      <c r="C10" s="800"/>
      <c r="D10" s="800"/>
      <c r="E10" s="800"/>
      <c r="F10" s="800"/>
      <c r="G10" s="800"/>
      <c r="H10" s="801"/>
    </row>
    <row r="11" spans="2:8" x14ac:dyDescent="0.35">
      <c r="B11" s="340"/>
      <c r="H11" s="341"/>
    </row>
    <row r="12" spans="2:8" x14ac:dyDescent="0.35">
      <c r="B12" s="340" t="s">
        <v>210</v>
      </c>
      <c r="C12" s="224" t="s">
        <v>186</v>
      </c>
      <c r="E12" s="237">
        <f>+Billet!E30</f>
        <v>438.89979873044433</v>
      </c>
      <c r="F12" s="237">
        <f>+Billet!F30</f>
        <v>451.38910569492089</v>
      </c>
      <c r="G12" s="636">
        <f>+Billet!E30</f>
        <v>438.89979873044433</v>
      </c>
      <c r="H12" s="468">
        <f>+Billet!G30</f>
        <v>463.47102975430528</v>
      </c>
    </row>
    <row r="13" spans="2:8" x14ac:dyDescent="0.35">
      <c r="B13" s="340"/>
      <c r="H13" s="341"/>
    </row>
    <row r="14" spans="2:8" x14ac:dyDescent="0.35">
      <c r="B14" s="340" t="s">
        <v>239</v>
      </c>
      <c r="C14" s="224" t="s">
        <v>186</v>
      </c>
      <c r="E14" s="225">
        <f>+E12*((1/E6%)-1)</f>
        <v>29.910069599447098</v>
      </c>
      <c r="F14" s="225">
        <f>+F12*((1/F6%)-1)</f>
        <v>13.529120378743611</v>
      </c>
      <c r="G14" s="225">
        <f>+G12*((1/G6%)-1)</f>
        <v>9.3327736786208497</v>
      </c>
      <c r="H14" s="349">
        <f>+H12*((1/H6%)-1)</f>
        <v>15.208958314994899</v>
      </c>
    </row>
    <row r="15" spans="2:8" x14ac:dyDescent="0.35">
      <c r="B15" s="340" t="s">
        <v>240</v>
      </c>
      <c r="C15" s="224" t="s">
        <v>186</v>
      </c>
      <c r="E15" s="342">
        <f>+'EZDK Rebar'!E193</f>
        <v>-15.879999999999997</v>
      </c>
      <c r="F15" s="247">
        <f>+'EFS Rebar'!E193</f>
        <v>-7.24</v>
      </c>
      <c r="G15" s="247">
        <f>+'ERM Rolling'!E64/'ERM Rolling'!E6</f>
        <v>-5.2317308482688274</v>
      </c>
      <c r="H15" s="350">
        <f>+'ESR Rebar'!E146</f>
        <v>-7.9099999999999966</v>
      </c>
    </row>
    <row r="16" spans="2:8" x14ac:dyDescent="0.35">
      <c r="B16" s="340" t="s">
        <v>183</v>
      </c>
      <c r="C16" s="224" t="s">
        <v>186</v>
      </c>
      <c r="E16" s="342">
        <f>+SUM('EZDK Rebar'!E195:E201)</f>
        <v>16.153119658252994</v>
      </c>
      <c r="F16" s="247">
        <f>+SUM('EFS Rebar'!E195:E199)</f>
        <v>12.116606884392233</v>
      </c>
      <c r="G16" s="225">
        <f>+'ERM Rolling'!E77/'ERM Rolling'!E6</f>
        <v>17.008738017724912</v>
      </c>
      <c r="H16" s="350">
        <f>SUM('ESR Rebar'!E149:E157)</f>
        <v>14.946021167880447</v>
      </c>
    </row>
    <row r="17" spans="2:8" x14ac:dyDescent="0.35">
      <c r="B17" s="340" t="s">
        <v>184</v>
      </c>
      <c r="C17" s="224" t="s">
        <v>186</v>
      </c>
      <c r="E17" s="342">
        <f>+E16+E15+E14</f>
        <v>30.183189257700093</v>
      </c>
      <c r="F17" s="247">
        <f>+F16+F15+F14</f>
        <v>18.405727263135844</v>
      </c>
      <c r="G17" s="247">
        <f>+G16+G15+G14</f>
        <v>21.109780848076934</v>
      </c>
      <c r="H17" s="350">
        <f>+H16+H15+H14</f>
        <v>22.244979482875351</v>
      </c>
    </row>
    <row r="18" spans="2:8" x14ac:dyDescent="0.35">
      <c r="B18" s="340"/>
      <c r="F18" s="224"/>
      <c r="G18" s="224"/>
      <c r="H18" s="359"/>
    </row>
    <row r="19" spans="2:8" ht="15" thickBot="1" x14ac:dyDescent="0.4">
      <c r="B19" s="334" t="s">
        <v>185</v>
      </c>
      <c r="C19" s="372" t="s">
        <v>186</v>
      </c>
      <c r="D19" s="343"/>
      <c r="E19" s="353">
        <f>+E17+E12</f>
        <v>469.0829879881444</v>
      </c>
      <c r="F19" s="353">
        <f>+F17+F12</f>
        <v>469.79483295805676</v>
      </c>
      <c r="G19" s="353">
        <f>+G17+G12</f>
        <v>460.00957957852125</v>
      </c>
      <c r="H19" s="354">
        <f>+H17+H12</f>
        <v>485.71600923718063</v>
      </c>
    </row>
    <row r="20" spans="2:8" ht="15.5" thickTop="1" thickBot="1" x14ac:dyDescent="0.4"/>
    <row r="21" spans="2:8" ht="15" thickBot="1" x14ac:dyDescent="0.4">
      <c r="B21" s="803" t="s">
        <v>250</v>
      </c>
      <c r="C21" s="804"/>
      <c r="D21" s="804"/>
      <c r="E21" s="804"/>
      <c r="F21" s="804"/>
      <c r="G21" s="804"/>
      <c r="H21" s="805"/>
    </row>
    <row r="23" spans="2:8" x14ac:dyDescent="0.35">
      <c r="B23" s="799" t="s">
        <v>180</v>
      </c>
      <c r="C23" s="800"/>
      <c r="D23" s="800"/>
      <c r="E23" s="800"/>
      <c r="F23" s="800"/>
      <c r="G23" s="800"/>
      <c r="H23" s="801"/>
    </row>
    <row r="24" spans="2:8" x14ac:dyDescent="0.35">
      <c r="B24" s="340"/>
      <c r="H24" s="341"/>
    </row>
    <row r="25" spans="2:8" x14ac:dyDescent="0.35">
      <c r="B25" s="340" t="s">
        <v>210</v>
      </c>
      <c r="C25" s="224" t="s">
        <v>186</v>
      </c>
      <c r="E25">
        <f>+Billet!$E$52</f>
        <v>514.36</v>
      </c>
      <c r="F25">
        <f>+Billet!$E$52</f>
        <v>514.36</v>
      </c>
      <c r="G25">
        <f>+Billet!$E$52</f>
        <v>514.36</v>
      </c>
      <c r="H25" s="371">
        <f>+Billet!$E$52</f>
        <v>514.36</v>
      </c>
    </row>
    <row r="26" spans="2:8" x14ac:dyDescent="0.35">
      <c r="B26" s="340"/>
      <c r="H26" s="341"/>
    </row>
    <row r="27" spans="2:8" x14ac:dyDescent="0.35">
      <c r="B27" s="340" t="s">
        <v>239</v>
      </c>
      <c r="C27" s="224" t="s">
        <v>186</v>
      </c>
      <c r="E27" s="225">
        <f>+E25*((1/E6%)-1)</f>
        <v>35.052518692587086</v>
      </c>
      <c r="F27" s="225">
        <f>+F25*((1/F6%)-1)</f>
        <v>15.416496034607036</v>
      </c>
      <c r="G27" s="225">
        <f>+G25*((1/G6%)-1)</f>
        <v>10.937360835482288</v>
      </c>
      <c r="H27" s="349">
        <f>+H25*((1/H6%)-1)</f>
        <v>16.878897054359218</v>
      </c>
    </row>
    <row r="28" spans="2:8" x14ac:dyDescent="0.35">
      <c r="B28" s="340" t="s">
        <v>240</v>
      </c>
      <c r="C28" s="224" t="s">
        <v>186</v>
      </c>
      <c r="E28" s="247">
        <f>+E15</f>
        <v>-15.879999999999997</v>
      </c>
      <c r="F28" s="247">
        <f t="shared" ref="F28:H29" si="0">+F15</f>
        <v>-7.24</v>
      </c>
      <c r="G28" s="247">
        <f t="shared" si="0"/>
        <v>-5.2317308482688274</v>
      </c>
      <c r="H28" s="350">
        <f t="shared" si="0"/>
        <v>-7.9099999999999966</v>
      </c>
    </row>
    <row r="29" spans="2:8" x14ac:dyDescent="0.35">
      <c r="B29" s="340" t="s">
        <v>183</v>
      </c>
      <c r="C29" s="224" t="s">
        <v>186</v>
      </c>
      <c r="E29" s="247">
        <f>+E16</f>
        <v>16.153119658252994</v>
      </c>
      <c r="F29" s="247">
        <f t="shared" si="0"/>
        <v>12.116606884392233</v>
      </c>
      <c r="G29" s="247">
        <f t="shared" si="0"/>
        <v>17.008738017724912</v>
      </c>
      <c r="H29" s="350">
        <f t="shared" si="0"/>
        <v>14.946021167880447</v>
      </c>
    </row>
    <row r="30" spans="2:8" x14ac:dyDescent="0.35">
      <c r="B30" s="340" t="s">
        <v>184</v>
      </c>
      <c r="C30" s="224" t="s">
        <v>186</v>
      </c>
      <c r="E30" s="342">
        <f>+E29+E28+E27</f>
        <v>35.32563835084008</v>
      </c>
      <c r="F30" s="247">
        <f>+F29+F28+F27</f>
        <v>20.293102918999267</v>
      </c>
      <c r="G30" s="247">
        <f>+G29+G28+G27</f>
        <v>22.714368004938372</v>
      </c>
      <c r="H30" s="350">
        <f>+H29+H28+H27</f>
        <v>23.91491822223967</v>
      </c>
    </row>
    <row r="31" spans="2:8" x14ac:dyDescent="0.35">
      <c r="B31" s="340"/>
      <c r="F31" s="224"/>
      <c r="G31" s="224"/>
      <c r="H31" s="359"/>
    </row>
    <row r="32" spans="2:8" ht="15" thickBot="1" x14ac:dyDescent="0.4">
      <c r="B32" s="334" t="s">
        <v>185</v>
      </c>
      <c r="C32" s="372" t="s">
        <v>186</v>
      </c>
      <c r="D32" s="343"/>
      <c r="E32" s="353">
        <f>+E30+E25</f>
        <v>549.68563835084012</v>
      </c>
      <c r="F32" s="353">
        <f>+F30+F25</f>
        <v>534.65310291899925</v>
      </c>
      <c r="G32" s="353">
        <f>+G30+G25</f>
        <v>537.07436800493838</v>
      </c>
      <c r="H32" s="354">
        <f>+H30+H25</f>
        <v>538.27491822223965</v>
      </c>
    </row>
    <row r="33" spans="2:9" ht="15" thickTop="1" x14ac:dyDescent="0.35"/>
    <row r="34" spans="2:9" ht="15" thickBot="1" x14ac:dyDescent="0.4">
      <c r="B34" s="365" t="s">
        <v>249</v>
      </c>
      <c r="C34" s="373" t="s">
        <v>186</v>
      </c>
      <c r="D34" s="366"/>
      <c r="E34" s="374">
        <f>+E19-E32</f>
        <v>-80.602650362695726</v>
      </c>
      <c r="F34" s="374">
        <f>+F19-F32</f>
        <v>-64.858269960942494</v>
      </c>
      <c r="G34" s="374">
        <f>+G19-G32</f>
        <v>-77.064788426417124</v>
      </c>
      <c r="H34" s="375">
        <f>+H19-H32</f>
        <v>-52.55890898505902</v>
      </c>
    </row>
    <row r="35" spans="2:9" ht="15" thickTop="1" x14ac:dyDescent="0.35"/>
    <row r="36" spans="2:9" x14ac:dyDescent="0.35">
      <c r="H36" s="376">
        <f>1+Billet!H54</f>
        <v>4</v>
      </c>
      <c r="I36" s="377" t="s">
        <v>388</v>
      </c>
    </row>
  </sheetData>
  <mergeCells count="5">
    <mergeCell ref="B2:G2"/>
    <mergeCell ref="B8:H8"/>
    <mergeCell ref="B21:H21"/>
    <mergeCell ref="B10:H10"/>
    <mergeCell ref="B23:H23"/>
  </mergeCells>
  <printOptions horizontalCentered="1"/>
  <pageMargins left="0.7" right="0.7" top="0.75" bottom="0.75" header="0.3" footer="0.3"/>
  <pageSetup scale="72" orientation="landscape" horizontalDpi="4294967295" verticalDpi="4294967295" r:id="rId1"/>
  <headerFooter>
    <oddFooter>&amp;C&amp;1#&amp;"Calibri"&amp;10&amp;K737373EZDK Business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F36"/>
  <sheetViews>
    <sheetView showGridLines="0" topLeftCell="A7" zoomScaleNormal="100" workbookViewId="0">
      <selection activeCell="B2" sqref="B2:K36"/>
    </sheetView>
  </sheetViews>
  <sheetFormatPr defaultRowHeight="14.5" x14ac:dyDescent="0.35"/>
  <cols>
    <col min="2" max="2" width="31" bestFit="1" customWidth="1"/>
  </cols>
  <sheetData>
    <row r="1" spans="2:6" ht="15" thickBot="1" x14ac:dyDescent="0.4"/>
    <row r="2" spans="2:6" ht="15" thickBot="1" x14ac:dyDescent="0.4">
      <c r="B2" s="796" t="s">
        <v>262</v>
      </c>
      <c r="C2" s="797"/>
      <c r="D2" s="798"/>
      <c r="E2" s="246">
        <f ca="1">+Billet!G2</f>
        <v>46303</v>
      </c>
    </row>
    <row r="3" spans="2:6" ht="15" thickBot="1" x14ac:dyDescent="0.4"/>
    <row r="4" spans="2:6" ht="15" thickBot="1" x14ac:dyDescent="0.4">
      <c r="B4" s="355" t="s">
        <v>230</v>
      </c>
      <c r="C4" s="356" t="s">
        <v>234</v>
      </c>
      <c r="D4" s="356"/>
      <c r="E4" s="370" t="s">
        <v>177</v>
      </c>
      <c r="F4" s="221"/>
    </row>
    <row r="5" spans="2:6" x14ac:dyDescent="0.35">
      <c r="E5" s="221"/>
      <c r="F5" s="221"/>
    </row>
    <row r="6" spans="2:6" x14ac:dyDescent="0.35">
      <c r="B6" t="s">
        <v>237</v>
      </c>
      <c r="C6" t="s">
        <v>5</v>
      </c>
      <c r="E6" s="224">
        <v>97.61</v>
      </c>
      <c r="F6" s="225"/>
    </row>
    <row r="8" spans="2:6" x14ac:dyDescent="0.35">
      <c r="B8" s="806" t="s">
        <v>238</v>
      </c>
      <c r="C8" s="807"/>
      <c r="D8" s="807"/>
      <c r="E8" s="808"/>
    </row>
    <row r="9" spans="2:6" x14ac:dyDescent="0.35">
      <c r="B9" s="340"/>
      <c r="E9" s="341"/>
    </row>
    <row r="10" spans="2:6" x14ac:dyDescent="0.35">
      <c r="B10" s="340" t="s">
        <v>180</v>
      </c>
      <c r="E10" s="341"/>
    </row>
    <row r="11" spans="2:6" x14ac:dyDescent="0.35">
      <c r="B11" s="340"/>
      <c r="E11" s="341"/>
    </row>
    <row r="12" spans="2:6" x14ac:dyDescent="0.35">
      <c r="B12" s="340" t="s">
        <v>210</v>
      </c>
      <c r="C12" t="s">
        <v>186</v>
      </c>
      <c r="E12" s="350">
        <f>+Billet!E30</f>
        <v>438.89979873044433</v>
      </c>
      <c r="F12" s="237"/>
    </row>
    <row r="13" spans="2:6" x14ac:dyDescent="0.35">
      <c r="B13" s="340"/>
      <c r="E13" s="341"/>
    </row>
    <row r="14" spans="2:6" x14ac:dyDescent="0.35">
      <c r="B14" s="340" t="s">
        <v>239</v>
      </c>
      <c r="C14" t="s">
        <v>186</v>
      </c>
      <c r="E14" s="349">
        <f>+E12*((1/E6%)-1)</f>
        <v>10.746547679190325</v>
      </c>
      <c r="F14" s="225"/>
    </row>
    <row r="15" spans="2:6" x14ac:dyDescent="0.35">
      <c r="B15" s="340" t="s">
        <v>240</v>
      </c>
      <c r="C15" t="s">
        <v>186</v>
      </c>
      <c r="E15" s="351">
        <f>+'EZDK Wire'!E64/'EZDK Wire'!E6</f>
        <v>-5.986728395061732</v>
      </c>
      <c r="F15" s="247"/>
    </row>
    <row r="16" spans="2:6" x14ac:dyDescent="0.35">
      <c r="B16" s="340" t="s">
        <v>183</v>
      </c>
      <c r="C16" t="s">
        <v>186</v>
      </c>
      <c r="E16" s="351">
        <f>+'EZDK Wire'!E77/'EZDK Wire'!E6</f>
        <v>18.8731597906094</v>
      </c>
      <c r="F16" s="247"/>
    </row>
    <row r="17" spans="2:6" x14ac:dyDescent="0.35">
      <c r="B17" s="340" t="s">
        <v>184</v>
      </c>
      <c r="C17" t="s">
        <v>186</v>
      </c>
      <c r="E17" s="351">
        <f>+E16+E15+E14</f>
        <v>23.632979074737992</v>
      </c>
      <c r="F17" s="247"/>
    </row>
    <row r="18" spans="2:6" x14ac:dyDescent="0.35">
      <c r="B18" s="340"/>
      <c r="E18" s="341"/>
      <c r="F18" s="224"/>
    </row>
    <row r="19" spans="2:6" ht="15" thickBot="1" x14ac:dyDescent="0.4">
      <c r="B19" s="334" t="s">
        <v>185</v>
      </c>
      <c r="C19" s="343" t="s">
        <v>186</v>
      </c>
      <c r="D19" s="343"/>
      <c r="E19" s="354">
        <f>+E17+E12</f>
        <v>462.53277780518232</v>
      </c>
      <c r="F19" s="247"/>
    </row>
    <row r="20" spans="2:6" ht="15" thickTop="1" x14ac:dyDescent="0.35"/>
    <row r="21" spans="2:6" x14ac:dyDescent="0.35">
      <c r="B21" s="799" t="s">
        <v>250</v>
      </c>
      <c r="C21" s="800"/>
      <c r="D21" s="800"/>
      <c r="E21" s="801"/>
    </row>
    <row r="22" spans="2:6" x14ac:dyDescent="0.35">
      <c r="B22" s="340"/>
      <c r="E22" s="341"/>
    </row>
    <row r="23" spans="2:6" x14ac:dyDescent="0.35">
      <c r="B23" s="340" t="s">
        <v>180</v>
      </c>
      <c r="E23" s="341"/>
    </row>
    <row r="24" spans="2:6" x14ac:dyDescent="0.35">
      <c r="B24" s="340"/>
      <c r="E24" s="341"/>
    </row>
    <row r="25" spans="2:6" x14ac:dyDescent="0.35">
      <c r="B25" s="340" t="s">
        <v>210</v>
      </c>
      <c r="C25" t="s">
        <v>186</v>
      </c>
      <c r="E25" s="359">
        <f>+Billet!$E$52</f>
        <v>514.36</v>
      </c>
    </row>
    <row r="26" spans="2:6" x14ac:dyDescent="0.35">
      <c r="B26" s="340"/>
      <c r="E26" s="341"/>
    </row>
    <row r="27" spans="2:6" x14ac:dyDescent="0.35">
      <c r="B27" s="340" t="s">
        <v>239</v>
      </c>
      <c r="C27" t="s">
        <v>186</v>
      </c>
      <c r="E27" s="349">
        <f>+E25*((1/E6%)-1)</f>
        <v>12.594205511730424</v>
      </c>
      <c r="F27" s="225"/>
    </row>
    <row r="28" spans="2:6" x14ac:dyDescent="0.35">
      <c r="B28" s="340" t="s">
        <v>240</v>
      </c>
      <c r="C28" t="s">
        <v>186</v>
      </c>
      <c r="E28" s="350">
        <f>+E15</f>
        <v>-5.986728395061732</v>
      </c>
      <c r="F28" s="247"/>
    </row>
    <row r="29" spans="2:6" x14ac:dyDescent="0.35">
      <c r="B29" s="340" t="s">
        <v>183</v>
      </c>
      <c r="C29" t="s">
        <v>186</v>
      </c>
      <c r="E29" s="350">
        <f>+E16</f>
        <v>18.8731597906094</v>
      </c>
      <c r="F29" s="247"/>
    </row>
    <row r="30" spans="2:6" x14ac:dyDescent="0.35">
      <c r="B30" s="340" t="s">
        <v>184</v>
      </c>
      <c r="C30" t="s">
        <v>186</v>
      </c>
      <c r="E30" s="351">
        <f>+E29+E28+E27</f>
        <v>25.48063690727809</v>
      </c>
      <c r="F30" s="247"/>
    </row>
    <row r="31" spans="2:6" x14ac:dyDescent="0.35">
      <c r="B31" s="340"/>
      <c r="E31" s="341"/>
      <c r="F31" s="224"/>
    </row>
    <row r="32" spans="2:6" ht="15" thickBot="1" x14ac:dyDescent="0.4">
      <c r="B32" s="334" t="s">
        <v>185</v>
      </c>
      <c r="C32" s="343" t="s">
        <v>186</v>
      </c>
      <c r="D32" s="343"/>
      <c r="E32" s="354">
        <f>+E30+E25</f>
        <v>539.84063690727805</v>
      </c>
      <c r="F32" s="247"/>
    </row>
    <row r="33" spans="2:6" ht="15" thickTop="1" x14ac:dyDescent="0.35"/>
    <row r="34" spans="2:6" ht="15" thickBot="1" x14ac:dyDescent="0.4">
      <c r="B34" s="365" t="s">
        <v>249</v>
      </c>
      <c r="C34" s="366" t="s">
        <v>186</v>
      </c>
      <c r="D34" s="366"/>
      <c r="E34" s="375">
        <f>+E19-E32</f>
        <v>-77.307859102095733</v>
      </c>
      <c r="F34" s="247"/>
    </row>
    <row r="35" spans="2:6" ht="15" thickTop="1" x14ac:dyDescent="0.35"/>
    <row r="36" spans="2:6" x14ac:dyDescent="0.35">
      <c r="E36" s="376">
        <f>1+Rebar!H36</f>
        <v>5</v>
      </c>
      <c r="F36" s="377" t="s">
        <v>388</v>
      </c>
    </row>
  </sheetData>
  <mergeCells count="3">
    <mergeCell ref="B2:D2"/>
    <mergeCell ref="B8:E8"/>
    <mergeCell ref="B21:E21"/>
  </mergeCells>
  <printOptions horizontalCentered="1"/>
  <pageMargins left="0.7" right="0.7" top="0.75" bottom="0.75" header="0.3" footer="0.3"/>
  <pageSetup scale="97" orientation="landscape" horizontalDpi="4294967295" verticalDpi="4294967295" r:id="rId1"/>
  <headerFooter>
    <oddFooter>&amp;C&amp;1#&amp;"Calibri"&amp;10&amp;K737373EZDK Business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>
    <pageSetUpPr fitToPage="1"/>
  </sheetPr>
  <dimension ref="B1:G32"/>
  <sheetViews>
    <sheetView showGridLines="0" topLeftCell="A3" workbookViewId="0">
      <selection activeCell="B2" sqref="B2:N32"/>
    </sheetView>
  </sheetViews>
  <sheetFormatPr defaultRowHeight="14.5" x14ac:dyDescent="0.35"/>
  <cols>
    <col min="2" max="2" width="31" bestFit="1" customWidth="1"/>
    <col min="3" max="3" width="9.1796875" style="224"/>
  </cols>
  <sheetData>
    <row r="1" spans="2:6" ht="15" thickBot="1" x14ac:dyDescent="0.4"/>
    <row r="2" spans="2:6" s="364" customFormat="1" ht="15" thickBot="1" x14ac:dyDescent="0.4">
      <c r="B2" s="796" t="s">
        <v>274</v>
      </c>
      <c r="C2" s="797"/>
      <c r="D2" s="797"/>
      <c r="E2" s="798"/>
      <c r="F2" s="382">
        <f ca="1">+DRI!F2</f>
        <v>46303</v>
      </c>
    </row>
    <row r="3" spans="2:6" ht="15" thickBot="1" x14ac:dyDescent="0.4">
      <c r="B3" s="221"/>
      <c r="D3" s="221"/>
      <c r="E3" s="221"/>
      <c r="F3" s="221"/>
    </row>
    <row r="4" spans="2:6" s="364" customFormat="1" ht="15" thickBot="1" x14ac:dyDescent="0.4">
      <c r="B4" s="355" t="s">
        <v>173</v>
      </c>
      <c r="C4" s="357" t="s">
        <v>178</v>
      </c>
      <c r="D4" s="356"/>
      <c r="E4" s="357" t="s">
        <v>177</v>
      </c>
      <c r="F4" s="358" t="s">
        <v>198</v>
      </c>
    </row>
    <row r="5" spans="2:6" x14ac:dyDescent="0.35">
      <c r="E5" s="224"/>
      <c r="F5" s="224"/>
    </row>
    <row r="6" spans="2:6" x14ac:dyDescent="0.35">
      <c r="B6" t="s">
        <v>252</v>
      </c>
      <c r="C6" s="224" t="s">
        <v>186</v>
      </c>
      <c r="E6" s="224"/>
      <c r="F6" s="228">
        <v>1.6285248904469614</v>
      </c>
    </row>
    <row r="7" spans="2:6" hidden="1" x14ac:dyDescent="0.35">
      <c r="B7" t="s">
        <v>190</v>
      </c>
      <c r="C7" s="224" t="s">
        <v>191</v>
      </c>
      <c r="D7" s="237">
        <f>+DRI!E6</f>
        <v>16.2</v>
      </c>
    </row>
    <row r="8" spans="2:6" x14ac:dyDescent="0.35">
      <c r="B8" t="s">
        <v>200</v>
      </c>
      <c r="C8" s="224" t="s">
        <v>186</v>
      </c>
      <c r="E8" s="247">
        <f>+DRI!E22</f>
        <v>262.4212863756614</v>
      </c>
      <c r="F8" s="247">
        <f>+DRI!F22+F6</f>
        <v>267.30002568409776</v>
      </c>
    </row>
    <row r="9" spans="2:6" x14ac:dyDescent="0.35">
      <c r="B9" t="s">
        <v>201</v>
      </c>
      <c r="C9" s="224" t="s">
        <v>186</v>
      </c>
      <c r="E9" s="224">
        <v>248.87</v>
      </c>
      <c r="F9" s="224">
        <v>248.87</v>
      </c>
    </row>
    <row r="10" spans="2:6" x14ac:dyDescent="0.35">
      <c r="B10" t="s">
        <v>202</v>
      </c>
      <c r="C10" s="224" t="s">
        <v>186</v>
      </c>
      <c r="E10" s="224">
        <v>275.51</v>
      </c>
      <c r="F10" s="224">
        <v>267.27</v>
      </c>
    </row>
    <row r="11" spans="2:6" x14ac:dyDescent="0.35">
      <c r="B11" t="s">
        <v>203</v>
      </c>
      <c r="C11" s="224" t="s">
        <v>44</v>
      </c>
      <c r="E11" s="224">
        <v>7.0000000000000007E-2</v>
      </c>
      <c r="F11" s="224">
        <v>7.0000000000000007E-2</v>
      </c>
    </row>
    <row r="12" spans="2:6" x14ac:dyDescent="0.35">
      <c r="E12" s="224"/>
    </row>
    <row r="13" spans="2:6" x14ac:dyDescent="0.35">
      <c r="B13" t="s">
        <v>204</v>
      </c>
      <c r="C13" s="224" t="s">
        <v>5</v>
      </c>
      <c r="E13" s="225">
        <v>80</v>
      </c>
      <c r="F13" s="231">
        <v>80</v>
      </c>
    </row>
    <row r="14" spans="2:6" x14ac:dyDescent="0.35">
      <c r="B14" t="s">
        <v>19</v>
      </c>
      <c r="C14" s="224" t="s">
        <v>5</v>
      </c>
      <c r="E14" s="225">
        <v>16.998000000000001</v>
      </c>
      <c r="F14" s="229">
        <v>14</v>
      </c>
    </row>
    <row r="15" spans="2:6" x14ac:dyDescent="0.35">
      <c r="B15" t="s">
        <v>18</v>
      </c>
      <c r="C15" s="224" t="s">
        <v>5</v>
      </c>
      <c r="E15" s="225">
        <v>3</v>
      </c>
      <c r="F15" s="229">
        <v>5.9779999999999998</v>
      </c>
    </row>
    <row r="16" spans="2:6" x14ac:dyDescent="0.35">
      <c r="E16" s="224"/>
    </row>
    <row r="17" spans="2:7" x14ac:dyDescent="0.35">
      <c r="B17" t="s">
        <v>193</v>
      </c>
      <c r="C17" s="224" t="s">
        <v>5</v>
      </c>
      <c r="E17" s="224">
        <v>85.22</v>
      </c>
      <c r="F17" s="221">
        <v>84.17</v>
      </c>
    </row>
    <row r="18" spans="2:7" x14ac:dyDescent="0.35">
      <c r="B18" t="s">
        <v>253</v>
      </c>
      <c r="C18" s="224" t="s">
        <v>5</v>
      </c>
      <c r="E18" s="224">
        <v>98.73</v>
      </c>
      <c r="F18" s="225">
        <v>98</v>
      </c>
    </row>
    <row r="19" spans="2:7" x14ac:dyDescent="0.35">
      <c r="B19" t="s">
        <v>254</v>
      </c>
      <c r="C19" s="224" t="s">
        <v>5</v>
      </c>
      <c r="E19" s="225">
        <v>97.68</v>
      </c>
      <c r="F19" s="225">
        <v>98</v>
      </c>
    </row>
    <row r="20" spans="2:7" x14ac:dyDescent="0.35">
      <c r="B20" t="s">
        <v>209</v>
      </c>
      <c r="C20" s="224" t="s">
        <v>212</v>
      </c>
      <c r="E20" s="224">
        <v>693.12</v>
      </c>
      <c r="F20" s="221">
        <v>708.39</v>
      </c>
    </row>
    <row r="21" spans="2:7" x14ac:dyDescent="0.35">
      <c r="E21" s="224"/>
    </row>
    <row r="22" spans="2:7" s="364" customFormat="1" x14ac:dyDescent="0.35">
      <c r="B22" s="799" t="s">
        <v>180</v>
      </c>
      <c r="C22" s="800"/>
      <c r="D22" s="800"/>
      <c r="E22" s="800"/>
      <c r="F22" s="801"/>
    </row>
    <row r="23" spans="2:7" x14ac:dyDescent="0.35">
      <c r="B23" s="340"/>
      <c r="E23" s="224"/>
      <c r="F23" s="341"/>
    </row>
    <row r="24" spans="2:7" x14ac:dyDescent="0.35">
      <c r="B24" s="340" t="s">
        <v>210</v>
      </c>
      <c r="C24" s="224" t="s">
        <v>186</v>
      </c>
      <c r="E24" s="225">
        <f>E8*E13%+E9*E14%+E10*E15%</f>
        <v>260.50525170052913</v>
      </c>
      <c r="F24" s="349">
        <f>F8*F13%+F9*F14%+F10*F15%</f>
        <v>264.65922114727823</v>
      </c>
    </row>
    <row r="25" spans="2:7" x14ac:dyDescent="0.35">
      <c r="B25" s="340"/>
      <c r="F25" s="341"/>
    </row>
    <row r="26" spans="2:7" x14ac:dyDescent="0.35">
      <c r="B26" s="340" t="s">
        <v>211</v>
      </c>
      <c r="C26" s="224" t="s">
        <v>186</v>
      </c>
      <c r="E26" s="223">
        <f>+((1/(E17%*E18%*E19%)-1)*E8*E13%+((1/(E17%*E18%*E19%)-1))*E9*E14%+((1/(E17%*E18%*E19%))-1)*E10*E15%)</f>
        <v>56.466211867701297</v>
      </c>
      <c r="F26" s="386">
        <f>+((1/(F17%*F18%*F19%)-1)*F8*F13%+((1/(F17%*F18%*F19%)-1))*F9*F14%+((1/(F17%*F18%*F19%))-1)*F10*F15%)</f>
        <v>62.739931857113611</v>
      </c>
    </row>
    <row r="27" spans="2:7" x14ac:dyDescent="0.35">
      <c r="B27" s="340" t="s">
        <v>183</v>
      </c>
      <c r="C27" s="224" t="s">
        <v>186</v>
      </c>
      <c r="E27" s="223">
        <f>+'EZDK Flat'!J269</f>
        <v>125.90860418212156</v>
      </c>
      <c r="F27" s="386">
        <f>+'EFS Flat'!J269</f>
        <v>151.84056183720526</v>
      </c>
    </row>
    <row r="28" spans="2:7" x14ac:dyDescent="0.35">
      <c r="B28" s="340" t="s">
        <v>184</v>
      </c>
      <c r="C28" s="224" t="s">
        <v>186</v>
      </c>
      <c r="E28" s="225">
        <f>+E26+E27</f>
        <v>182.37481604982287</v>
      </c>
      <c r="F28" s="349">
        <f>+F26+F27</f>
        <v>214.58049369431887</v>
      </c>
    </row>
    <row r="29" spans="2:7" x14ac:dyDescent="0.35">
      <c r="B29" s="340"/>
      <c r="F29" s="341"/>
    </row>
    <row r="30" spans="2:7" ht="15" thickBot="1" x14ac:dyDescent="0.4">
      <c r="B30" s="334" t="s">
        <v>185</v>
      </c>
      <c r="C30" s="372" t="s">
        <v>186</v>
      </c>
      <c r="D30" s="343"/>
      <c r="E30" s="344">
        <f>+E28+E24</f>
        <v>442.880067750352</v>
      </c>
      <c r="F30" s="387">
        <f>+F28+F24</f>
        <v>479.23971484159711</v>
      </c>
    </row>
    <row r="31" spans="2:7" ht="15" thickTop="1" x14ac:dyDescent="0.35">
      <c r="G31" s="227"/>
    </row>
    <row r="32" spans="2:7" x14ac:dyDescent="0.35">
      <c r="F32" s="376">
        <f>1+Wire!E36</f>
        <v>6</v>
      </c>
      <c r="G32" s="377" t="s">
        <v>388</v>
      </c>
    </row>
  </sheetData>
  <mergeCells count="2">
    <mergeCell ref="B2:E2"/>
    <mergeCell ref="B22:F22"/>
  </mergeCells>
  <printOptions horizontalCentered="1"/>
  <pageMargins left="0.7" right="0.7" top="0.75" bottom="0.75" header="0.3" footer="0.3"/>
  <pageSetup scale="81" orientation="landscape" horizontalDpi="4294967295" verticalDpi="4294967295" r:id="rId1"/>
  <headerFooter>
    <oddFooter>&amp;C&amp;1#&amp;"Calibri"&amp;10&amp;K737373EZDK Business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H39"/>
  <sheetViews>
    <sheetView showGridLines="0" zoomScale="115" zoomScaleNormal="115" workbookViewId="0">
      <selection activeCell="E8" sqref="E8"/>
    </sheetView>
  </sheetViews>
  <sheetFormatPr defaultRowHeight="14.5" x14ac:dyDescent="0.35"/>
  <cols>
    <col min="2" max="2" width="28.453125" bestFit="1" customWidth="1"/>
  </cols>
  <sheetData>
    <row r="1" spans="2:8" ht="15" thickBot="1" x14ac:dyDescent="0.4"/>
    <row r="2" spans="2:8" ht="15" thickBot="1" x14ac:dyDescent="0.4">
      <c r="B2" s="796" t="s">
        <v>284</v>
      </c>
      <c r="C2" s="797"/>
      <c r="D2" s="797"/>
      <c r="E2" s="797"/>
      <c r="F2" s="798"/>
      <c r="G2" s="382">
        <f ca="1">+Flat!F2</f>
        <v>46303</v>
      </c>
    </row>
    <row r="3" spans="2:8" ht="15" thickBot="1" x14ac:dyDescent="0.4"/>
    <row r="4" spans="2:8" ht="15" thickBot="1" x14ac:dyDescent="0.4">
      <c r="B4" s="388" t="s">
        <v>173</v>
      </c>
      <c r="C4" s="357" t="s">
        <v>234</v>
      </c>
      <c r="D4" s="357"/>
      <c r="E4" s="357" t="s">
        <v>285</v>
      </c>
      <c r="F4" s="357" t="s">
        <v>286</v>
      </c>
      <c r="G4" s="358" t="s">
        <v>287</v>
      </c>
    </row>
    <row r="5" spans="2:8" x14ac:dyDescent="0.35">
      <c r="B5" s="226"/>
      <c r="C5" s="224"/>
      <c r="D5" s="224"/>
      <c r="E5" s="224"/>
      <c r="F5" s="224"/>
      <c r="G5" s="224"/>
    </row>
    <row r="6" spans="2:8" x14ac:dyDescent="0.35">
      <c r="B6" s="226" t="s">
        <v>177</v>
      </c>
      <c r="C6" s="224" t="s">
        <v>289</v>
      </c>
      <c r="D6" s="224"/>
      <c r="E6" s="224">
        <v>100</v>
      </c>
      <c r="F6" s="224">
        <v>40</v>
      </c>
      <c r="G6" s="224">
        <v>45</v>
      </c>
    </row>
    <row r="7" spans="2:8" x14ac:dyDescent="0.35">
      <c r="B7" s="226" t="s">
        <v>198</v>
      </c>
      <c r="C7" s="224" t="s">
        <v>289</v>
      </c>
      <c r="D7" s="224"/>
      <c r="E7" s="224">
        <v>70</v>
      </c>
      <c r="F7" s="224"/>
      <c r="G7" s="224">
        <v>7.5</v>
      </c>
    </row>
    <row r="8" spans="2:8" x14ac:dyDescent="0.35">
      <c r="B8" s="226" t="s">
        <v>179</v>
      </c>
      <c r="C8" s="224" t="s">
        <v>289</v>
      </c>
      <c r="D8" s="224"/>
      <c r="E8" s="224">
        <v>30</v>
      </c>
      <c r="F8" s="224"/>
      <c r="G8" s="224"/>
    </row>
    <row r="9" spans="2:8" x14ac:dyDescent="0.35">
      <c r="B9" s="226" t="s">
        <v>199</v>
      </c>
      <c r="C9" s="224" t="s">
        <v>289</v>
      </c>
      <c r="D9" s="224"/>
      <c r="E9" s="224">
        <v>70</v>
      </c>
      <c r="F9" s="224"/>
      <c r="G9" s="224"/>
    </row>
    <row r="10" spans="2:8" x14ac:dyDescent="0.35">
      <c r="B10" s="226"/>
      <c r="C10" s="224"/>
      <c r="D10" s="224"/>
      <c r="E10" s="224"/>
      <c r="F10" s="224"/>
      <c r="G10" s="224"/>
    </row>
    <row r="11" spans="2:8" x14ac:dyDescent="0.35">
      <c r="B11" s="389" t="s">
        <v>395</v>
      </c>
      <c r="C11" s="346" t="s">
        <v>289</v>
      </c>
      <c r="D11" s="346"/>
      <c r="E11" s="346">
        <f>SUM(E6:E9)</f>
        <v>270</v>
      </c>
      <c r="F11" s="346">
        <f>+F6</f>
        <v>40</v>
      </c>
      <c r="G11" s="347">
        <f>SUM(G22:G23)</f>
        <v>0</v>
      </c>
    </row>
    <row r="12" spans="2:8" x14ac:dyDescent="0.35">
      <c r="B12" s="390" t="s">
        <v>338</v>
      </c>
      <c r="C12" s="224" t="s">
        <v>5</v>
      </c>
      <c r="D12" s="224"/>
      <c r="E12" s="225">
        <f>+E11/E22*100</f>
        <v>51.428571428571423</v>
      </c>
      <c r="F12" s="225">
        <f>+F11/F22*100</f>
        <v>53.333333333333336</v>
      </c>
      <c r="G12" s="359"/>
      <c r="H12" s="464" t="s">
        <v>339</v>
      </c>
    </row>
    <row r="13" spans="2:8" x14ac:dyDescent="0.35">
      <c r="B13" s="390"/>
      <c r="C13" s="224"/>
      <c r="D13" s="224"/>
      <c r="E13" s="463">
        <f>100-E12</f>
        <v>48.571428571428577</v>
      </c>
      <c r="F13" s="463">
        <f>100-F12</f>
        <v>46.666666666666664</v>
      </c>
      <c r="G13" s="359"/>
      <c r="H13" s="464" t="s">
        <v>155</v>
      </c>
    </row>
    <row r="14" spans="2:8" x14ac:dyDescent="0.35">
      <c r="B14" s="390" t="s">
        <v>290</v>
      </c>
      <c r="C14" s="224" t="s">
        <v>5</v>
      </c>
      <c r="D14" s="224"/>
      <c r="E14" s="230">
        <f>+E6/E11*100</f>
        <v>37.037037037037038</v>
      </c>
      <c r="F14" s="225">
        <f>+F6/F11*100</f>
        <v>100</v>
      </c>
      <c r="G14" s="349" t="e">
        <f>+G6/G11*100</f>
        <v>#DIV/0!</v>
      </c>
      <c r="H14" s="232"/>
    </row>
    <row r="15" spans="2:8" x14ac:dyDescent="0.35">
      <c r="B15" s="390" t="s">
        <v>291</v>
      </c>
      <c r="C15" s="224" t="s">
        <v>5</v>
      </c>
      <c r="D15" s="224"/>
      <c r="E15" s="230">
        <f>E7/E11*100</f>
        <v>25.925925925925924</v>
      </c>
      <c r="F15" s="224"/>
      <c r="G15" s="349" t="e">
        <f>+G7/G11*100</f>
        <v>#DIV/0!</v>
      </c>
    </row>
    <row r="16" spans="2:8" x14ac:dyDescent="0.35">
      <c r="B16" s="390" t="s">
        <v>292</v>
      </c>
      <c r="C16" s="224" t="s">
        <v>5</v>
      </c>
      <c r="D16" s="224"/>
      <c r="E16" s="230">
        <f>+E8/E11*100</f>
        <v>11.111111111111111</v>
      </c>
      <c r="F16" s="224"/>
      <c r="G16" s="359"/>
    </row>
    <row r="17" spans="2:7" ht="15" thickBot="1" x14ac:dyDescent="0.4">
      <c r="B17" s="391" t="s">
        <v>293</v>
      </c>
      <c r="C17" s="372" t="s">
        <v>5</v>
      </c>
      <c r="D17" s="372"/>
      <c r="E17" s="497">
        <f>+E9/E11*100</f>
        <v>25.925925925925924</v>
      </c>
      <c r="F17" s="372"/>
      <c r="G17" s="393"/>
    </row>
    <row r="18" spans="2:7" ht="15" thickTop="1" x14ac:dyDescent="0.35">
      <c r="B18" s="226"/>
      <c r="C18" s="224"/>
      <c r="D18" s="224"/>
      <c r="E18" s="230"/>
      <c r="F18" s="224"/>
      <c r="G18" s="224"/>
    </row>
    <row r="19" spans="2:7" x14ac:dyDescent="0.35">
      <c r="B19" s="226" t="s">
        <v>335</v>
      </c>
      <c r="C19" s="224" t="s">
        <v>289</v>
      </c>
      <c r="D19" s="224"/>
      <c r="E19" s="224"/>
      <c r="F19" s="224">
        <v>10</v>
      </c>
      <c r="G19" s="224">
        <v>40</v>
      </c>
    </row>
    <row r="20" spans="2:7" x14ac:dyDescent="0.35">
      <c r="B20" s="226" t="s">
        <v>336</v>
      </c>
      <c r="C20" s="224" t="s">
        <v>289</v>
      </c>
      <c r="D20" s="224"/>
      <c r="E20" s="224"/>
      <c r="F20" s="224"/>
      <c r="G20" s="224">
        <v>7.5</v>
      </c>
    </row>
    <row r="21" spans="2:7" x14ac:dyDescent="0.35">
      <c r="B21" s="226"/>
      <c r="C21" s="224"/>
      <c r="D21" s="224"/>
      <c r="E21" s="224"/>
      <c r="F21" s="224"/>
      <c r="G21" s="224"/>
    </row>
    <row r="22" spans="2:7" x14ac:dyDescent="0.35">
      <c r="B22" s="226" t="s">
        <v>394</v>
      </c>
      <c r="C22" s="224" t="s">
        <v>289</v>
      </c>
      <c r="D22" s="224"/>
      <c r="E22" s="224">
        <v>525</v>
      </c>
      <c r="F22" s="224">
        <v>75</v>
      </c>
      <c r="G22" s="224" t="s">
        <v>396</v>
      </c>
    </row>
    <row r="23" spans="2:7" x14ac:dyDescent="0.35">
      <c r="B23" s="226"/>
      <c r="C23" s="224"/>
      <c r="D23" s="224"/>
      <c r="E23" s="224"/>
      <c r="F23" s="224"/>
      <c r="G23" s="224"/>
    </row>
    <row r="24" spans="2:7" ht="15" thickBot="1" x14ac:dyDescent="0.4"/>
    <row r="25" spans="2:7" ht="15" thickBot="1" x14ac:dyDescent="0.4">
      <c r="B25" s="388" t="s">
        <v>294</v>
      </c>
      <c r="C25" s="357" t="s">
        <v>234</v>
      </c>
      <c r="D25" s="357"/>
      <c r="E25" s="357" t="s">
        <v>285</v>
      </c>
      <c r="F25" s="357" t="s">
        <v>286</v>
      </c>
      <c r="G25" s="358" t="s">
        <v>287</v>
      </c>
    </row>
    <row r="27" spans="2:7" x14ac:dyDescent="0.35">
      <c r="B27" t="s">
        <v>190</v>
      </c>
      <c r="D27">
        <f>+'Fixed Cost'!D15</f>
        <v>16.2</v>
      </c>
    </row>
    <row r="29" spans="2:7" x14ac:dyDescent="0.35">
      <c r="B29" s="226" t="s">
        <v>177</v>
      </c>
      <c r="C29" s="221" t="s">
        <v>122</v>
      </c>
      <c r="E29" s="381">
        <v>9300</v>
      </c>
      <c r="F29" s="381">
        <v>9075</v>
      </c>
      <c r="G29" s="381">
        <v>8900</v>
      </c>
    </row>
    <row r="30" spans="2:7" x14ac:dyDescent="0.35">
      <c r="B30" s="226" t="s">
        <v>198</v>
      </c>
      <c r="C30" s="221" t="s">
        <v>122</v>
      </c>
      <c r="E30" s="381">
        <v>9300</v>
      </c>
      <c r="F30" s="381"/>
      <c r="G30" s="381">
        <v>8900</v>
      </c>
    </row>
    <row r="31" spans="2:7" x14ac:dyDescent="0.35">
      <c r="B31" s="226" t="s">
        <v>179</v>
      </c>
      <c r="C31" s="221" t="s">
        <v>122</v>
      </c>
      <c r="E31" s="381">
        <v>9300</v>
      </c>
      <c r="F31" s="381"/>
      <c r="G31" s="381"/>
    </row>
    <row r="32" spans="2:7" x14ac:dyDescent="0.35">
      <c r="B32" s="226" t="s">
        <v>199</v>
      </c>
      <c r="C32" s="221" t="s">
        <v>122</v>
      </c>
      <c r="E32" s="381">
        <v>9300</v>
      </c>
      <c r="F32" s="381"/>
      <c r="G32" s="381"/>
    </row>
    <row r="33" spans="2:7" x14ac:dyDescent="0.35">
      <c r="C33" s="221"/>
      <c r="E33" s="381"/>
      <c r="F33" s="381"/>
      <c r="G33" s="381"/>
    </row>
    <row r="34" spans="2:7" x14ac:dyDescent="0.35">
      <c r="B34" s="226" t="s">
        <v>177</v>
      </c>
      <c r="C34" s="221" t="s">
        <v>41</v>
      </c>
      <c r="E34" s="381">
        <v>490</v>
      </c>
      <c r="F34" s="381">
        <v>480</v>
      </c>
      <c r="G34" s="381">
        <v>510</v>
      </c>
    </row>
    <row r="35" spans="2:7" x14ac:dyDescent="0.35">
      <c r="B35" s="226" t="s">
        <v>198</v>
      </c>
      <c r="C35" s="221" t="s">
        <v>41</v>
      </c>
      <c r="E35" s="381">
        <v>490</v>
      </c>
      <c r="F35" s="381"/>
      <c r="G35" s="381">
        <v>510</v>
      </c>
    </row>
    <row r="36" spans="2:7" x14ac:dyDescent="0.35">
      <c r="B36" s="226" t="s">
        <v>179</v>
      </c>
      <c r="C36" s="221" t="s">
        <v>41</v>
      </c>
      <c r="E36" s="381">
        <v>490</v>
      </c>
      <c r="F36" s="381"/>
      <c r="G36" s="381"/>
    </row>
    <row r="37" spans="2:7" x14ac:dyDescent="0.35">
      <c r="B37" s="226" t="s">
        <v>199</v>
      </c>
      <c r="C37" s="221" t="s">
        <v>41</v>
      </c>
      <c r="E37" s="381">
        <v>490</v>
      </c>
      <c r="F37" s="381"/>
      <c r="G37" s="381"/>
    </row>
    <row r="39" spans="2:7" x14ac:dyDescent="0.35">
      <c r="E39" s="376">
        <f>1+Flat!F32</f>
        <v>7</v>
      </c>
      <c r="F39" s="377" t="s">
        <v>388</v>
      </c>
    </row>
  </sheetData>
  <mergeCells count="1">
    <mergeCell ref="B2:F2"/>
  </mergeCells>
  <printOptions horizontalCentered="1"/>
  <pageMargins left="0.7" right="0.7" top="0.75" bottom="0.75" header="0.3" footer="0.3"/>
  <pageSetup scale="88" orientation="landscape" horizontalDpi="4294967295" verticalDpi="4294967295" r:id="rId1"/>
  <headerFooter>
    <oddFooter>&amp;C&amp;1#&amp;"Calibri"&amp;10&amp;K737373EZDK Business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I47"/>
  <sheetViews>
    <sheetView showGridLines="0" topLeftCell="A19" zoomScaleNormal="100" workbookViewId="0">
      <selection activeCell="F43" sqref="F43:H43"/>
    </sheetView>
  </sheetViews>
  <sheetFormatPr defaultRowHeight="14.5" x14ac:dyDescent="0.35"/>
  <cols>
    <col min="2" max="2" width="29.81640625" bestFit="1" customWidth="1"/>
    <col min="6" max="6" width="9.54296875" bestFit="1" customWidth="1"/>
    <col min="9" max="9" width="13.7265625" customWidth="1"/>
  </cols>
  <sheetData>
    <row r="1" spans="2:9" ht="15" thickBot="1" x14ac:dyDescent="0.4"/>
    <row r="2" spans="2:9" s="364" customFormat="1" ht="15" thickBot="1" x14ac:dyDescent="0.4">
      <c r="B2" s="796" t="s">
        <v>307</v>
      </c>
      <c r="C2" s="797"/>
      <c r="D2" s="797"/>
      <c r="E2" s="797"/>
      <c r="F2" s="797"/>
      <c r="G2" s="797"/>
      <c r="H2" s="798"/>
      <c r="I2" s="383">
        <f ca="1">'Market Share'!G2</f>
        <v>46303</v>
      </c>
    </row>
    <row r="3" spans="2:9" ht="15" thickBot="1" x14ac:dyDescent="0.4"/>
    <row r="4" spans="2:9" s="364" customFormat="1" ht="15" thickBot="1" x14ac:dyDescent="0.4">
      <c r="B4" s="355" t="s">
        <v>173</v>
      </c>
      <c r="C4" s="356" t="s">
        <v>178</v>
      </c>
      <c r="D4" s="356"/>
      <c r="E4" s="357" t="s">
        <v>177</v>
      </c>
      <c r="F4" s="357" t="s">
        <v>198</v>
      </c>
      <c r="G4" s="357" t="s">
        <v>179</v>
      </c>
      <c r="H4" s="357" t="s">
        <v>199</v>
      </c>
      <c r="I4" s="358" t="s">
        <v>300</v>
      </c>
    </row>
    <row r="5" spans="2:9" x14ac:dyDescent="0.35">
      <c r="E5" s="224"/>
      <c r="F5" s="224"/>
      <c r="G5" s="224"/>
      <c r="H5" s="224"/>
      <c r="I5" s="224"/>
    </row>
    <row r="6" spans="2:9" s="364" customFormat="1" x14ac:dyDescent="0.35">
      <c r="B6" s="360" t="s">
        <v>308</v>
      </c>
      <c r="C6" s="361"/>
      <c r="D6" s="361"/>
      <c r="E6" s="362"/>
      <c r="F6" s="362"/>
      <c r="G6" s="362"/>
      <c r="H6" s="362"/>
      <c r="I6" s="408"/>
    </row>
    <row r="7" spans="2:9" x14ac:dyDescent="0.35">
      <c r="B7" s="340" t="s">
        <v>309</v>
      </c>
      <c r="C7" t="s">
        <v>289</v>
      </c>
      <c r="E7" s="225">
        <f>'Market Share'!E6</f>
        <v>100</v>
      </c>
      <c r="F7" s="225">
        <f>'Market Share'!E7</f>
        <v>70</v>
      </c>
      <c r="G7" s="225">
        <f>'Market Share'!E8</f>
        <v>30</v>
      </c>
      <c r="H7" s="225">
        <f>'Market Share'!E9</f>
        <v>70</v>
      </c>
      <c r="I7" s="403">
        <f>SUM(E7:H7)</f>
        <v>270</v>
      </c>
    </row>
    <row r="8" spans="2:9" x14ac:dyDescent="0.35">
      <c r="B8" s="340" t="s">
        <v>286</v>
      </c>
      <c r="C8" t="s">
        <v>289</v>
      </c>
      <c r="E8" s="225">
        <f>'Market Share'!F6+'Market Share'!F19</f>
        <v>50</v>
      </c>
      <c r="F8" s="225"/>
      <c r="G8" s="225"/>
      <c r="H8" s="225"/>
      <c r="I8" s="403">
        <f>SUM(E8:H8)</f>
        <v>50</v>
      </c>
    </row>
    <row r="9" spans="2:9" x14ac:dyDescent="0.35">
      <c r="B9" s="340"/>
      <c r="E9" s="225"/>
      <c r="F9" s="225"/>
      <c r="G9" s="225"/>
      <c r="H9" s="225"/>
      <c r="I9" s="403"/>
    </row>
    <row r="10" spans="2:9" x14ac:dyDescent="0.35">
      <c r="B10" s="340" t="s">
        <v>310</v>
      </c>
      <c r="C10" t="s">
        <v>289</v>
      </c>
      <c r="E10" s="229">
        <f>+'EZDK Rebar'!E104/1000</f>
        <v>158.03904297543593</v>
      </c>
      <c r="F10" s="229">
        <f>'EFS Rebar'!E104/1000</f>
        <v>72.098053352559475</v>
      </c>
      <c r="G10" s="229">
        <f>+'ERM Rolling'!E21/1000</f>
        <v>30.637920571320606</v>
      </c>
      <c r="H10" s="229">
        <f>'ESR Rebar'!E19/1000</f>
        <v>72.297073632874145</v>
      </c>
      <c r="I10" s="403">
        <f t="shared" ref="I10:I18" si="0">SUM(E10:H10)</f>
        <v>333.07209053219015</v>
      </c>
    </row>
    <row r="11" spans="2:9" x14ac:dyDescent="0.35">
      <c r="B11" s="340" t="s">
        <v>57</v>
      </c>
      <c r="C11" t="s">
        <v>289</v>
      </c>
      <c r="E11" s="229">
        <f>'EZDK Rebar'!E19/1000</f>
        <v>159.02499796280534</v>
      </c>
      <c r="F11" s="229">
        <f>'EFS Rebar'!E106/1000</f>
        <v>73.531925907760808</v>
      </c>
      <c r="G11" s="229"/>
      <c r="H11" s="229">
        <f>H10/'ESR Rebar'!E21</f>
        <v>73.398044297334152</v>
      </c>
      <c r="I11" s="403">
        <f t="shared" si="0"/>
        <v>305.95496816790029</v>
      </c>
    </row>
    <row r="12" spans="2:9" x14ac:dyDescent="0.35">
      <c r="B12" s="340" t="s">
        <v>311</v>
      </c>
      <c r="C12" t="s">
        <v>289</v>
      </c>
      <c r="E12" s="229">
        <f>'EZDK Rebar'!E21/1000</f>
        <v>187.24243254775149</v>
      </c>
      <c r="F12" s="229">
        <f>'EFS Rebar'!E21/1000</f>
        <v>87.361204595177384</v>
      </c>
      <c r="G12" s="229"/>
      <c r="H12" s="229">
        <f>'ESR Rebar'!E23/1000</f>
        <v>84.027526385041966</v>
      </c>
      <c r="I12" s="403">
        <f t="shared" si="0"/>
        <v>358.63116352797078</v>
      </c>
    </row>
    <row r="13" spans="2:9" x14ac:dyDescent="0.35">
      <c r="B13" s="340" t="s">
        <v>204</v>
      </c>
      <c r="C13" t="s">
        <v>5</v>
      </c>
      <c r="E13" s="576">
        <f>'EZDK Rebar'!D26</f>
        <v>0.8</v>
      </c>
      <c r="F13" s="576">
        <f>'EFS Rebar'!D26</f>
        <v>0.8</v>
      </c>
      <c r="G13" s="576"/>
      <c r="H13" s="576">
        <f>'ESR Rebar'!D28</f>
        <v>0.2</v>
      </c>
      <c r="I13" s="403"/>
    </row>
    <row r="14" spans="2:9" x14ac:dyDescent="0.35">
      <c r="B14" s="340" t="s">
        <v>20</v>
      </c>
      <c r="C14" t="s">
        <v>289</v>
      </c>
      <c r="E14" s="229">
        <f>'EZDK Rebar'!E26/1000</f>
        <v>149.7939460382012</v>
      </c>
      <c r="F14" s="229">
        <f>'EFS Rebar'!E26/1000</f>
        <v>69.888963676141913</v>
      </c>
      <c r="G14" s="229"/>
      <c r="H14" s="229">
        <f>'ESR Rebar'!E28/1000</f>
        <v>16.805505277008397</v>
      </c>
      <c r="I14" s="403">
        <f t="shared" si="0"/>
        <v>236.4884149913515</v>
      </c>
    </row>
    <row r="15" spans="2:9" x14ac:dyDescent="0.35">
      <c r="B15" s="340" t="s">
        <v>312</v>
      </c>
      <c r="C15" t="s">
        <v>5</v>
      </c>
      <c r="E15" s="576">
        <f>'EZDK Rebar'!D24</f>
        <v>0.15977</v>
      </c>
      <c r="F15" s="576">
        <f>'EFS Rebar'!D24</f>
        <v>5.978E-2</v>
      </c>
      <c r="G15" s="576"/>
      <c r="H15" s="576">
        <f>'ESR Rebar'!D26</f>
        <v>0.63986699999999996</v>
      </c>
      <c r="I15" s="403"/>
    </row>
    <row r="16" spans="2:9" x14ac:dyDescent="0.35">
      <c r="B16" s="340" t="s">
        <v>18</v>
      </c>
      <c r="C16" t="s">
        <v>289</v>
      </c>
      <c r="E16" s="229">
        <f>'EZDK Rebar'!E24/1000</f>
        <v>29.915723448154253</v>
      </c>
      <c r="F16" s="229">
        <f>'EFS Rebar'!E24/1000</f>
        <v>5.2224528106997044</v>
      </c>
      <c r="G16" s="229"/>
      <c r="H16" s="229">
        <f>'ESR Rebar'!E26/1000</f>
        <v>53.766441225417651</v>
      </c>
      <c r="I16" s="403">
        <f t="shared" si="0"/>
        <v>88.904617484271611</v>
      </c>
    </row>
    <row r="17" spans="2:9" x14ac:dyDescent="0.35">
      <c r="B17" s="340" t="s">
        <v>313</v>
      </c>
      <c r="C17" t="s">
        <v>5</v>
      </c>
      <c r="E17" s="576">
        <f>'EZDK Rebar'!D25</f>
        <v>0.04</v>
      </c>
      <c r="F17" s="576">
        <f>'EFS Rebar'!D25</f>
        <v>0.14000000000000001</v>
      </c>
      <c r="G17" s="576"/>
      <c r="H17" s="576">
        <f>'ESR Rebar'!D27</f>
        <v>0.160133</v>
      </c>
      <c r="I17" s="403"/>
    </row>
    <row r="18" spans="2:9" x14ac:dyDescent="0.35">
      <c r="B18" s="340" t="s">
        <v>314</v>
      </c>
      <c r="C18" t="s">
        <v>289</v>
      </c>
      <c r="E18" s="229">
        <f>'EZDK Rebar'!E25/1000</f>
        <v>7.4896973019100592</v>
      </c>
      <c r="F18" s="229">
        <f>'EFS Rebar'!E25/1000</f>
        <v>12.230568643324835</v>
      </c>
      <c r="G18" s="229"/>
      <c r="H18" s="229">
        <f>'ESR Rebar'!E27/1000</f>
        <v>13.455579882615925</v>
      </c>
      <c r="I18" s="403">
        <f t="shared" si="0"/>
        <v>33.175845827850821</v>
      </c>
    </row>
    <row r="19" spans="2:9" x14ac:dyDescent="0.35">
      <c r="B19" s="340"/>
      <c r="E19" s="225"/>
      <c r="F19" s="225"/>
      <c r="G19" s="225"/>
      <c r="H19" s="225"/>
      <c r="I19" s="403"/>
    </row>
    <row r="20" spans="2:9" x14ac:dyDescent="0.35">
      <c r="B20" s="340" t="s">
        <v>149</v>
      </c>
      <c r="C20" t="s">
        <v>63</v>
      </c>
      <c r="E20" s="225">
        <f>'DRI Cost'!E15</f>
        <v>1.5</v>
      </c>
      <c r="F20" s="225"/>
      <c r="G20" s="225">
        <f>'DRI Cost'!G15</f>
        <v>1.43</v>
      </c>
      <c r="H20" s="225"/>
      <c r="I20" s="403"/>
    </row>
    <row r="21" spans="2:9" ht="15" thickBot="1" x14ac:dyDescent="0.4">
      <c r="B21" s="352" t="s">
        <v>162</v>
      </c>
      <c r="C21" s="343" t="s">
        <v>289</v>
      </c>
      <c r="D21" s="343"/>
      <c r="E21" s="402">
        <f>E14*E20</f>
        <v>224.69091905730181</v>
      </c>
      <c r="F21" s="402"/>
      <c r="G21" s="402">
        <f>(F14+H14)*G20</f>
        <v>123.97309060300493</v>
      </c>
      <c r="H21" s="402"/>
      <c r="I21" s="404">
        <f>SUM(E21:H21)</f>
        <v>348.66400966030676</v>
      </c>
    </row>
    <row r="22" spans="2:9" ht="15" thickTop="1" x14ac:dyDescent="0.35">
      <c r="E22" s="224"/>
      <c r="F22" s="224"/>
      <c r="G22" s="224"/>
      <c r="H22" s="224"/>
      <c r="I22" s="224"/>
    </row>
    <row r="23" spans="2:9" s="364" customFormat="1" x14ac:dyDescent="0.35">
      <c r="B23" s="360" t="s">
        <v>315</v>
      </c>
      <c r="C23" s="361"/>
      <c r="D23" s="361"/>
      <c r="E23" s="362"/>
      <c r="F23" s="362"/>
      <c r="G23" s="362"/>
      <c r="H23" s="362"/>
      <c r="I23" s="408"/>
    </row>
    <row r="24" spans="2:9" x14ac:dyDescent="0.35">
      <c r="B24" s="340" t="s">
        <v>287</v>
      </c>
      <c r="C24" t="s">
        <v>289</v>
      </c>
      <c r="E24" s="247">
        <f>('EZDK Flat'!E10)/1000</f>
        <v>85</v>
      </c>
      <c r="F24" s="247">
        <f>'EFS Flat'!E10/1000</f>
        <v>15</v>
      </c>
      <c r="G24" s="224"/>
      <c r="H24" s="224"/>
      <c r="I24" s="403">
        <f t="shared" ref="I24:I33" si="1">SUM(E24:H24)</f>
        <v>100</v>
      </c>
    </row>
    <row r="25" spans="2:9" x14ac:dyDescent="0.35">
      <c r="B25" s="340"/>
      <c r="E25" s="247"/>
      <c r="F25" s="247"/>
      <c r="G25" s="224"/>
      <c r="H25" s="224"/>
      <c r="I25" s="403"/>
    </row>
    <row r="26" spans="2:9" x14ac:dyDescent="0.35">
      <c r="B26" s="340" t="s">
        <v>316</v>
      </c>
      <c r="C26" t="s">
        <v>289</v>
      </c>
      <c r="E26" s="247">
        <f>'EZDK Flat'!E19/1000</f>
        <v>88.138192057973257</v>
      </c>
      <c r="F26" s="247">
        <f>'EFS Flat'!E19/1000</f>
        <v>15.618492294877134</v>
      </c>
      <c r="G26" s="224"/>
      <c r="H26" s="224"/>
      <c r="I26" s="403">
        <f t="shared" si="1"/>
        <v>103.75668435285039</v>
      </c>
    </row>
    <row r="27" spans="2:9" x14ac:dyDescent="0.35">
      <c r="B27" s="340" t="s">
        <v>311</v>
      </c>
      <c r="C27" t="s">
        <v>289</v>
      </c>
      <c r="E27" s="247">
        <f>'EZDK Flat'!E21/1000</f>
        <v>103.42430422198224</v>
      </c>
      <c r="F27" s="247">
        <f>'EFS Flat'!E21/1000</f>
        <v>18.555889622047207</v>
      </c>
      <c r="G27" s="224"/>
      <c r="H27" s="224"/>
      <c r="I27" s="403">
        <f t="shared" si="1"/>
        <v>121.98019384402944</v>
      </c>
    </row>
    <row r="28" spans="2:9" x14ac:dyDescent="0.35">
      <c r="B28" s="340" t="s">
        <v>204</v>
      </c>
      <c r="C28" t="s">
        <v>5</v>
      </c>
      <c r="E28" s="549">
        <f>'EZDK Flat'!D26</f>
        <v>0.8</v>
      </c>
      <c r="F28" s="549">
        <f>'EFS Flat'!D26</f>
        <v>0.8</v>
      </c>
      <c r="G28" s="224"/>
      <c r="H28" s="224"/>
      <c r="I28" s="403"/>
    </row>
    <row r="29" spans="2:9" x14ac:dyDescent="0.35">
      <c r="B29" s="340" t="s">
        <v>20</v>
      </c>
      <c r="C29" t="s">
        <v>289</v>
      </c>
      <c r="E29" s="247">
        <f>'EZDK Flat'!E26/1000</f>
        <v>82.739443377585786</v>
      </c>
      <c r="F29" s="247">
        <f>'EFS Flat'!E26/1000</f>
        <v>14.844711697637768</v>
      </c>
      <c r="G29" s="224"/>
      <c r="H29" s="224"/>
      <c r="I29" s="403">
        <f t="shared" si="1"/>
        <v>97.584155075223549</v>
      </c>
    </row>
    <row r="30" spans="2:9" x14ac:dyDescent="0.35">
      <c r="B30" s="340" t="s">
        <v>312</v>
      </c>
      <c r="C30" t="s">
        <v>5</v>
      </c>
      <c r="E30" s="247">
        <f>'EZDK Flat'!D24</f>
        <v>0.03</v>
      </c>
      <c r="F30" s="247">
        <f>'EFS Flat'!D24</f>
        <v>5.978E-2</v>
      </c>
      <c r="G30" s="224"/>
      <c r="H30" s="224"/>
      <c r="I30" s="403"/>
    </row>
    <row r="31" spans="2:9" x14ac:dyDescent="0.35">
      <c r="B31" s="340" t="s">
        <v>18</v>
      </c>
      <c r="C31" t="s">
        <v>289</v>
      </c>
      <c r="E31" s="247">
        <f>'EZDK Flat'!E24/1000</f>
        <v>3.102729126659467</v>
      </c>
      <c r="F31" s="247">
        <f>'EFS Flat'!E24/1000</f>
        <v>1.1092710816059821</v>
      </c>
      <c r="G31" s="224"/>
      <c r="H31" s="224"/>
      <c r="I31" s="403">
        <f t="shared" si="1"/>
        <v>4.2120002082654491</v>
      </c>
    </row>
    <row r="32" spans="2:9" x14ac:dyDescent="0.35">
      <c r="B32" s="340" t="s">
        <v>313</v>
      </c>
      <c r="C32" t="s">
        <v>5</v>
      </c>
      <c r="E32" s="247">
        <f>'EZDK Flat'!D25</f>
        <v>0.16998000000000002</v>
      </c>
      <c r="F32" s="247">
        <f>'EFS Flat'!D25</f>
        <v>0.14000000000000001</v>
      </c>
      <c r="G32" s="224"/>
      <c r="H32" s="224"/>
      <c r="I32" s="403"/>
    </row>
    <row r="33" spans="2:9" x14ac:dyDescent="0.35">
      <c r="B33" s="340" t="s">
        <v>314</v>
      </c>
      <c r="C33" t="s">
        <v>289</v>
      </c>
      <c r="E33" s="247">
        <f>'EZDK Flat'!E25/1000</f>
        <v>17.580063231652545</v>
      </c>
      <c r="F33" s="247">
        <f>'EFS Flat'!E25/1000</f>
        <v>2.5978245470866095</v>
      </c>
      <c r="G33" s="224"/>
      <c r="H33" s="224"/>
      <c r="I33" s="403">
        <f t="shared" si="1"/>
        <v>20.177887778739155</v>
      </c>
    </row>
    <row r="34" spans="2:9" x14ac:dyDescent="0.35">
      <c r="B34" s="340"/>
      <c r="E34" s="224"/>
      <c r="F34" s="224"/>
      <c r="G34" s="224"/>
      <c r="H34" s="224"/>
      <c r="I34" s="406"/>
    </row>
    <row r="35" spans="2:9" x14ac:dyDescent="0.35">
      <c r="B35" s="340" t="s">
        <v>149</v>
      </c>
      <c r="C35" t="s">
        <v>63</v>
      </c>
      <c r="E35" s="405">
        <f>'DRI Cost'!E15</f>
        <v>1.5</v>
      </c>
      <c r="F35" s="224"/>
      <c r="G35" s="405">
        <f>'DRI Cost'!G15</f>
        <v>1.43</v>
      </c>
      <c r="H35" s="224"/>
      <c r="I35" s="406"/>
    </row>
    <row r="36" spans="2:9" ht="15" thickBot="1" x14ac:dyDescent="0.4">
      <c r="B36" s="352" t="s">
        <v>162</v>
      </c>
      <c r="C36" s="343" t="s">
        <v>289</v>
      </c>
      <c r="D36" s="343"/>
      <c r="E36" s="402">
        <f>E29*E35</f>
        <v>124.10916506637868</v>
      </c>
      <c r="F36" s="372"/>
      <c r="G36" s="402">
        <f>F29*G35</f>
        <v>21.227937727622006</v>
      </c>
      <c r="H36" s="372"/>
      <c r="I36" s="404">
        <f>SUM(E36:H36)</f>
        <v>145.33710279400069</v>
      </c>
    </row>
    <row r="37" spans="2:9" ht="15" thickTop="1" x14ac:dyDescent="0.35">
      <c r="E37" s="224"/>
      <c r="F37" s="224"/>
      <c r="G37" s="224"/>
      <c r="H37" s="224"/>
      <c r="I37" s="224"/>
    </row>
    <row r="38" spans="2:9" x14ac:dyDescent="0.35">
      <c r="B38" s="360" t="s">
        <v>317</v>
      </c>
      <c r="C38" s="361"/>
      <c r="D38" s="361"/>
      <c r="E38" s="361"/>
      <c r="F38" s="361"/>
      <c r="G38" s="361"/>
      <c r="H38" s="361"/>
      <c r="I38" s="407"/>
    </row>
    <row r="39" spans="2:9" x14ac:dyDescent="0.35">
      <c r="B39" s="340" t="s">
        <v>285</v>
      </c>
      <c r="C39" t="s">
        <v>289</v>
      </c>
      <c r="E39" s="225">
        <f>E7</f>
        <v>100</v>
      </c>
      <c r="F39" s="225">
        <f>F7</f>
        <v>70</v>
      </c>
      <c r="G39" s="225">
        <f>+G7</f>
        <v>30</v>
      </c>
      <c r="H39" s="225">
        <f>H7</f>
        <v>70</v>
      </c>
      <c r="I39" s="403">
        <f t="shared" ref="I39:I45" si="2">SUM(E39:H39)</f>
        <v>270</v>
      </c>
    </row>
    <row r="40" spans="2:9" x14ac:dyDescent="0.35">
      <c r="B40" s="340" t="s">
        <v>286</v>
      </c>
      <c r="C40" t="s">
        <v>289</v>
      </c>
      <c r="E40" s="225">
        <f>E8</f>
        <v>50</v>
      </c>
      <c r="F40" s="225"/>
      <c r="G40" s="224"/>
      <c r="H40" s="225"/>
      <c r="I40" s="403">
        <f t="shared" si="2"/>
        <v>50</v>
      </c>
    </row>
    <row r="41" spans="2:9" x14ac:dyDescent="0.35">
      <c r="B41" s="340" t="s">
        <v>287</v>
      </c>
      <c r="C41" t="s">
        <v>289</v>
      </c>
      <c r="E41" s="247">
        <f>E24</f>
        <v>85</v>
      </c>
      <c r="F41" s="225">
        <f>F24</f>
        <v>15</v>
      </c>
      <c r="G41" s="224"/>
      <c r="H41" s="225"/>
      <c r="I41" s="403">
        <f t="shared" si="2"/>
        <v>100</v>
      </c>
    </row>
    <row r="42" spans="2:9" x14ac:dyDescent="0.35">
      <c r="B42" s="340" t="s">
        <v>310</v>
      </c>
      <c r="C42" t="s">
        <v>289</v>
      </c>
      <c r="E42" s="225">
        <f>E10</f>
        <v>158.03904297543593</v>
      </c>
      <c r="F42" s="225">
        <f>F10</f>
        <v>72.098053352559475</v>
      </c>
      <c r="G42" s="225">
        <f>+G10</f>
        <v>30.637920571320606</v>
      </c>
      <c r="H42" s="225">
        <f>H10</f>
        <v>72.297073632874145</v>
      </c>
      <c r="I42" s="403">
        <f t="shared" si="2"/>
        <v>333.07209053219015</v>
      </c>
    </row>
    <row r="43" spans="2:9" x14ac:dyDescent="0.35">
      <c r="B43" s="340" t="s">
        <v>20</v>
      </c>
      <c r="C43" t="s">
        <v>289</v>
      </c>
      <c r="E43" s="247">
        <f>E29+E14</f>
        <v>232.53338941578698</v>
      </c>
      <c r="F43" s="225">
        <f>F29+F14</f>
        <v>84.733675373779676</v>
      </c>
      <c r="G43" s="224"/>
      <c r="H43" s="225">
        <f>H29+H14</f>
        <v>16.805505277008397</v>
      </c>
      <c r="I43" s="403">
        <f t="shared" si="2"/>
        <v>334.07257006657511</v>
      </c>
    </row>
    <row r="44" spans="2:9" x14ac:dyDescent="0.35">
      <c r="B44" s="340" t="s">
        <v>162</v>
      </c>
      <c r="C44" t="s">
        <v>289</v>
      </c>
      <c r="E44" s="225">
        <f>E21+E36</f>
        <v>348.80008412368051</v>
      </c>
      <c r="F44" s="225"/>
      <c r="G44" s="225">
        <f>G21+G36</f>
        <v>145.20102833062694</v>
      </c>
      <c r="H44" s="225"/>
      <c r="I44" s="403">
        <f t="shared" si="2"/>
        <v>494.00111245430742</v>
      </c>
    </row>
    <row r="45" spans="2:9" ht="15" thickBot="1" x14ac:dyDescent="0.4">
      <c r="B45" s="352" t="s">
        <v>318</v>
      </c>
      <c r="C45" s="343" t="s">
        <v>289</v>
      </c>
      <c r="D45" s="343"/>
      <c r="E45" s="402">
        <f>E16+E18+E31+E33</f>
        <v>58.088213108376323</v>
      </c>
      <c r="F45" s="402">
        <f>F16+F18+F31+F33</f>
        <v>21.160117082717132</v>
      </c>
      <c r="G45" s="372"/>
      <c r="H45" s="402">
        <f>H16+H18+H31+H33</f>
        <v>67.222021108033573</v>
      </c>
      <c r="I45" s="404">
        <f t="shared" si="2"/>
        <v>146.47035129912703</v>
      </c>
    </row>
    <row r="46" spans="2:9" ht="15" thickTop="1" x14ac:dyDescent="0.35"/>
    <row r="47" spans="2:9" x14ac:dyDescent="0.35">
      <c r="H47" s="376">
        <f>1+'Market Share'!E39</f>
        <v>8</v>
      </c>
      <c r="I47" s="377" t="s">
        <v>388</v>
      </c>
    </row>
  </sheetData>
  <mergeCells count="1">
    <mergeCell ref="B2:H2"/>
  </mergeCells>
  <printOptions horizontalCentered="1"/>
  <pageMargins left="0.7" right="0.7" top="0.75" bottom="0.75" header="0.3" footer="0.3"/>
  <pageSetup scale="71" orientation="landscape" horizontalDpi="4294967295" verticalDpi="4294967295" r:id="rId1"/>
  <headerFooter>
    <oddFooter>&amp;C&amp;1#&amp;"Calibri"&amp;10&amp;K737373EZDK Business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>
    <pageSetUpPr fitToPage="1"/>
  </sheetPr>
  <dimension ref="B1:U50"/>
  <sheetViews>
    <sheetView showGridLines="0" topLeftCell="A13" zoomScaleNormal="100" workbookViewId="0">
      <selection activeCell="P47" sqref="P47"/>
    </sheetView>
  </sheetViews>
  <sheetFormatPr defaultRowHeight="14.5" x14ac:dyDescent="0.35"/>
  <cols>
    <col min="2" max="2" width="29.7265625" bestFit="1" customWidth="1"/>
    <col min="3" max="3" width="9.1796875" style="224"/>
    <col min="5" max="5" width="10.54296875" style="224" customWidth="1"/>
    <col min="6" max="6" width="8.7265625" style="224" customWidth="1"/>
    <col min="7" max="7" width="9" style="224" customWidth="1"/>
    <col min="8" max="8" width="10" style="224" bestFit="1" customWidth="1"/>
    <col min="9" max="9" width="6.453125" customWidth="1"/>
    <col min="10" max="12" width="9.1796875" style="224"/>
    <col min="13" max="13" width="6.54296875" customWidth="1"/>
    <col min="14" max="14" width="9.1796875" style="224"/>
    <col min="15" max="15" width="2.453125" style="224" customWidth="1"/>
    <col min="16" max="16" width="9.1796875" style="224"/>
    <col min="17" max="17" width="3.453125" style="224" customWidth="1"/>
    <col min="18" max="18" width="9.1796875" style="224"/>
  </cols>
  <sheetData>
    <row r="1" spans="2:18" ht="15" thickBot="1" x14ac:dyDescent="0.4"/>
    <row r="2" spans="2:18" ht="19" thickBot="1" x14ac:dyDescent="0.5">
      <c r="B2" s="812" t="s">
        <v>343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4"/>
    </row>
    <row r="4" spans="2:18" s="412" customFormat="1" ht="15.5" x14ac:dyDescent="0.35">
      <c r="C4" s="413"/>
      <c r="E4" s="809" t="s">
        <v>177</v>
      </c>
      <c r="F4" s="810"/>
      <c r="G4" s="810"/>
      <c r="H4" s="811"/>
      <c r="J4" s="809" t="s">
        <v>198</v>
      </c>
      <c r="K4" s="810"/>
      <c r="L4" s="811"/>
      <c r="N4" s="415" t="s">
        <v>179</v>
      </c>
      <c r="O4" s="416"/>
      <c r="P4" s="416" t="s">
        <v>199</v>
      </c>
      <c r="Q4" s="422"/>
      <c r="R4" s="418" t="s">
        <v>300</v>
      </c>
    </row>
    <row r="5" spans="2:18" s="364" customFormat="1" x14ac:dyDescent="0.35">
      <c r="B5" s="364" t="s">
        <v>230</v>
      </c>
      <c r="C5" s="384" t="s">
        <v>178</v>
      </c>
      <c r="E5" s="414" t="s">
        <v>285</v>
      </c>
      <c r="F5" s="384" t="s">
        <v>286</v>
      </c>
      <c r="G5" s="384" t="s">
        <v>287</v>
      </c>
      <c r="H5" s="435" t="s">
        <v>334</v>
      </c>
      <c r="J5" s="414" t="s">
        <v>285</v>
      </c>
      <c r="K5" s="384" t="s">
        <v>287</v>
      </c>
      <c r="L5" s="435" t="s">
        <v>334</v>
      </c>
      <c r="N5" s="530" t="s">
        <v>285</v>
      </c>
      <c r="O5" s="384"/>
      <c r="P5" s="435" t="s">
        <v>285</v>
      </c>
      <c r="Q5" s="423"/>
      <c r="R5" s="419"/>
    </row>
    <row r="6" spans="2:18" x14ac:dyDescent="0.35">
      <c r="E6" s="409"/>
      <c r="H6" s="434"/>
      <c r="J6" s="409"/>
      <c r="L6" s="434"/>
      <c r="N6" s="519"/>
      <c r="P6" s="434"/>
      <c r="Q6" s="424"/>
      <c r="R6" s="420"/>
    </row>
    <row r="7" spans="2:18" x14ac:dyDescent="0.35">
      <c r="B7" t="s">
        <v>101</v>
      </c>
      <c r="C7" s="224" t="s">
        <v>289</v>
      </c>
      <c r="E7" s="409">
        <f>+'Market Share'!E6</f>
        <v>100</v>
      </c>
      <c r="F7" s="224">
        <f>+'Market Share'!F6</f>
        <v>40</v>
      </c>
      <c r="G7" s="224">
        <f>+'Market Share'!G6</f>
        <v>45</v>
      </c>
      <c r="H7" s="434">
        <f>SUM(E7:G7)</f>
        <v>185</v>
      </c>
      <c r="I7" s="224"/>
      <c r="J7" s="409">
        <f>+'Market Share'!E7</f>
        <v>70</v>
      </c>
      <c r="K7" s="224">
        <f>+'Market Share'!G7</f>
        <v>7.5</v>
      </c>
      <c r="L7" s="450">
        <f>SUM(J7:K7)</f>
        <v>77.5</v>
      </c>
      <c r="N7" s="519">
        <f>+'Market Share'!E8</f>
        <v>30</v>
      </c>
      <c r="P7" s="434">
        <f>+'Market Share'!E9</f>
        <v>70</v>
      </c>
      <c r="Q7" s="424"/>
      <c r="R7" s="421">
        <f>+P7+L7+H7+N7</f>
        <v>362.5</v>
      </c>
    </row>
    <row r="8" spans="2:18" x14ac:dyDescent="0.35">
      <c r="B8" t="s">
        <v>100</v>
      </c>
      <c r="C8" s="224" t="s">
        <v>289</v>
      </c>
      <c r="E8" s="410">
        <f>+'Market Share'!E19</f>
        <v>0</v>
      </c>
      <c r="F8" s="224">
        <f>+'Market Share'!F19</f>
        <v>10</v>
      </c>
      <c r="G8" s="224">
        <f>+'Market Share'!G19</f>
        <v>40</v>
      </c>
      <c r="H8" s="434">
        <f>SUM(E8:G8)</f>
        <v>50</v>
      </c>
      <c r="I8" s="224"/>
      <c r="J8" s="410">
        <f>+'Market Share'!E20</f>
        <v>0</v>
      </c>
      <c r="K8" s="224">
        <f>+'Market Share'!G20</f>
        <v>7.5</v>
      </c>
      <c r="L8" s="450">
        <f>SUM(J8:K8)</f>
        <v>7.5</v>
      </c>
      <c r="N8" s="518">
        <v>0</v>
      </c>
      <c r="P8" s="452">
        <v>0</v>
      </c>
      <c r="Q8" s="424"/>
      <c r="R8" s="421">
        <f>+P8+L8+H8+N8</f>
        <v>57.5</v>
      </c>
    </row>
    <row r="9" spans="2:18" x14ac:dyDescent="0.35">
      <c r="B9" t="s">
        <v>288</v>
      </c>
      <c r="C9" s="224" t="s">
        <v>289</v>
      </c>
      <c r="E9" s="409">
        <f>SUM(E7:E8)</f>
        <v>100</v>
      </c>
      <c r="F9" s="224">
        <f>SUM(F7:F8)</f>
        <v>50</v>
      </c>
      <c r="G9" s="224">
        <f>SUM(G7:G8)</f>
        <v>85</v>
      </c>
      <c r="H9" s="434">
        <f>SUM(H7:H8)</f>
        <v>235</v>
      </c>
      <c r="I9" s="224"/>
      <c r="J9" s="409">
        <f>SUM(J7:J8)</f>
        <v>70</v>
      </c>
      <c r="K9" s="224">
        <f>SUM(K7:K8)</f>
        <v>15</v>
      </c>
      <c r="L9" s="450">
        <f>SUM(L7:L8)</f>
        <v>85</v>
      </c>
      <c r="N9" s="519">
        <f>SUM(N7:N8)</f>
        <v>30</v>
      </c>
      <c r="P9" s="434">
        <f>SUM(P7:P8)</f>
        <v>70</v>
      </c>
      <c r="Q9" s="424"/>
      <c r="R9" s="421">
        <f>+P9+L9+H9+N9</f>
        <v>420</v>
      </c>
    </row>
    <row r="10" spans="2:18" x14ac:dyDescent="0.35">
      <c r="E10" s="409"/>
      <c r="H10" s="434"/>
      <c r="J10" s="409"/>
      <c r="L10" s="434"/>
      <c r="N10" s="519"/>
      <c r="P10" s="434"/>
      <c r="Q10" s="424"/>
      <c r="R10" s="420"/>
    </row>
    <row r="11" spans="2:18" x14ac:dyDescent="0.35">
      <c r="B11" t="s">
        <v>319</v>
      </c>
      <c r="C11" s="224" t="s">
        <v>333</v>
      </c>
      <c r="E11" s="426">
        <f>+E12*E7/1000</f>
        <v>57.407407407407419</v>
      </c>
      <c r="F11" s="225">
        <f>F12*F7/1000</f>
        <v>22.407407407407408</v>
      </c>
      <c r="G11" s="225">
        <f>G12*G7/1000</f>
        <v>24.722222222222225</v>
      </c>
      <c r="H11" s="439">
        <f t="shared" ref="H11:H18" si="0">SUM(E11:G11)</f>
        <v>104.53703703703705</v>
      </c>
      <c r="J11" s="426">
        <f>J12*J7/1000</f>
        <v>40.18518518518519</v>
      </c>
      <c r="K11" s="225">
        <f>+K12*K7/1000</f>
        <v>4.1203703703703711</v>
      </c>
      <c r="L11" s="439">
        <f>SUM(J11:K11)</f>
        <v>44.305555555555564</v>
      </c>
      <c r="N11" s="520">
        <f>N12*N7/1000</f>
        <v>17.222222222222221</v>
      </c>
      <c r="P11" s="439">
        <f>+P12*P9/1000</f>
        <v>40.18518518518519</v>
      </c>
      <c r="Q11" s="424"/>
      <c r="R11" s="421">
        <f>+P11+L11+H11+N11</f>
        <v>206.25000000000006</v>
      </c>
    </row>
    <row r="12" spans="2:18" s="428" customFormat="1" ht="13" x14ac:dyDescent="0.3">
      <c r="B12" s="428" t="s">
        <v>320</v>
      </c>
      <c r="C12" s="429" t="s">
        <v>186</v>
      </c>
      <c r="E12" s="430">
        <f>+'Market Share'!E29/'Market Share'!D27</f>
        <v>574.07407407407413</v>
      </c>
      <c r="F12" s="436">
        <f>+'Market Share'!F29/'Market Share'!D27</f>
        <v>560.18518518518522</v>
      </c>
      <c r="G12" s="436">
        <f>+'Market Share'!G29/'Market Share'!D27</f>
        <v>549.38271604938279</v>
      </c>
      <c r="H12" s="438">
        <f>+H11/H7*1000</f>
        <v>565.06506506506514</v>
      </c>
      <c r="J12" s="430">
        <f>+'Market Share'!E30/'Market Share'!D27</f>
        <v>574.07407407407413</v>
      </c>
      <c r="K12" s="447">
        <f>+'Market Share'!G30/'Market Share'!D27</f>
        <v>549.38271604938279</v>
      </c>
      <c r="L12" s="438">
        <f>+L11/L7*1000</f>
        <v>571.68458781362017</v>
      </c>
      <c r="N12" s="521">
        <f>+'Market Share'!E31/'Market Share'!D27</f>
        <v>574.07407407407413</v>
      </c>
      <c r="O12" s="429"/>
      <c r="P12" s="438">
        <f>+'Market Share'!E32/'Market Share'!D27</f>
        <v>574.07407407407413</v>
      </c>
      <c r="Q12" s="432"/>
      <c r="R12" s="460">
        <f>+R11/R7*1000</f>
        <v>568.96551724137942</v>
      </c>
    </row>
    <row r="13" spans="2:18" x14ac:dyDescent="0.35">
      <c r="B13" t="s">
        <v>321</v>
      </c>
      <c r="C13" s="224" t="s">
        <v>333</v>
      </c>
      <c r="E13" s="410">
        <f>E14*E8/1000</f>
        <v>0</v>
      </c>
      <c r="F13" s="224">
        <f>F14*F8/1000</f>
        <v>4.8</v>
      </c>
      <c r="G13" s="225">
        <f>+G14*G8/1000</f>
        <v>20.399999999999999</v>
      </c>
      <c r="H13" s="439">
        <f t="shared" si="0"/>
        <v>25.2</v>
      </c>
      <c r="J13" s="410">
        <v>0</v>
      </c>
      <c r="K13" s="225">
        <f>+K14*K8/1000</f>
        <v>3.8250000000000002</v>
      </c>
      <c r="L13" s="452">
        <f>+SUM(J13:K13)</f>
        <v>3.8250000000000002</v>
      </c>
      <c r="N13" s="518">
        <v>0</v>
      </c>
      <c r="P13" s="452">
        <v>0</v>
      </c>
      <c r="Q13" s="424"/>
      <c r="R13" s="421">
        <f>+P13+L13+H13+N13</f>
        <v>29.024999999999999</v>
      </c>
    </row>
    <row r="14" spans="2:18" s="428" customFormat="1" x14ac:dyDescent="0.3">
      <c r="B14" s="428" t="s">
        <v>320</v>
      </c>
      <c r="C14" s="429" t="s">
        <v>186</v>
      </c>
      <c r="E14" s="430">
        <f>+'Market Share'!E34</f>
        <v>490</v>
      </c>
      <c r="F14" s="447">
        <f>+'Market Share'!F34</f>
        <v>480</v>
      </c>
      <c r="G14" s="447">
        <f>+'Market Share'!G34</f>
        <v>510</v>
      </c>
      <c r="H14" s="438">
        <f>+H13/H8*1000</f>
        <v>504</v>
      </c>
      <c r="J14" s="453">
        <v>0</v>
      </c>
      <c r="K14" s="447">
        <f>+'Market Share'!G35</f>
        <v>510</v>
      </c>
      <c r="L14" s="455">
        <v>0</v>
      </c>
      <c r="N14" s="518">
        <v>0</v>
      </c>
      <c r="O14" s="429"/>
      <c r="P14" s="455">
        <v>0</v>
      </c>
      <c r="Q14" s="432"/>
      <c r="R14" s="460">
        <f>+R13/R8*1000</f>
        <v>504.78260869565219</v>
      </c>
    </row>
    <row r="15" spans="2:18" s="364" customFormat="1" x14ac:dyDescent="0.35">
      <c r="B15" s="364" t="s">
        <v>322</v>
      </c>
      <c r="C15" s="384" t="s">
        <v>333</v>
      </c>
      <c r="E15" s="479">
        <f>+E13+E11</f>
        <v>57.407407407407419</v>
      </c>
      <c r="F15" s="480">
        <f>+F13+F11</f>
        <v>27.207407407407409</v>
      </c>
      <c r="G15" s="480">
        <f>+G13+G11</f>
        <v>45.12222222222222</v>
      </c>
      <c r="H15" s="481">
        <f t="shared" si="0"/>
        <v>129.73703703703706</v>
      </c>
      <c r="J15" s="479">
        <f>+J13+J11</f>
        <v>40.18518518518519</v>
      </c>
      <c r="K15" s="480">
        <f>+K13+K11</f>
        <v>7.9453703703703713</v>
      </c>
      <c r="L15" s="481">
        <f>SUM(J15:K15)</f>
        <v>48.13055555555556</v>
      </c>
      <c r="N15" s="522">
        <f>+N13+N11</f>
        <v>17.222222222222221</v>
      </c>
      <c r="O15" s="384"/>
      <c r="P15" s="481">
        <f>+P13+P11</f>
        <v>40.18518518518519</v>
      </c>
      <c r="Q15" s="423"/>
      <c r="R15" s="482">
        <f>+P15+L15+H15+N15</f>
        <v>235.27500000000003</v>
      </c>
    </row>
    <row r="16" spans="2:18" s="428" customFormat="1" ht="13" x14ac:dyDescent="0.3">
      <c r="B16" s="428" t="s">
        <v>323</v>
      </c>
      <c r="C16" s="429" t="s">
        <v>186</v>
      </c>
      <c r="E16" s="430">
        <f>+E15*1000/(E9)</f>
        <v>574.07407407407413</v>
      </c>
      <c r="F16" s="436">
        <f>F15/F9*1000</f>
        <v>544.14814814814815</v>
      </c>
      <c r="G16" s="436">
        <f>+G15/G9*1000</f>
        <v>530.84967320261433</v>
      </c>
      <c r="H16" s="438">
        <f>+H15/H9*1000</f>
        <v>552.072498029945</v>
      </c>
      <c r="J16" s="430">
        <f>+J15*1000/(J9)</f>
        <v>574.07407407407413</v>
      </c>
      <c r="K16" s="436">
        <f>+K15*1000/(K9)</f>
        <v>529.69135802469145</v>
      </c>
      <c r="L16" s="438">
        <f>+L15/L9*1000</f>
        <v>566.24183006535952</v>
      </c>
      <c r="N16" s="521">
        <f>+N15*1000/(N9)</f>
        <v>574.07407407407413</v>
      </c>
      <c r="O16" s="429"/>
      <c r="P16" s="438">
        <f>P15/P9*1000</f>
        <v>574.07407407407413</v>
      </c>
      <c r="Q16" s="432"/>
      <c r="R16" s="460">
        <f>+R15/R9*1000</f>
        <v>560.17857142857156</v>
      </c>
    </row>
    <row r="17" spans="2:18" x14ac:dyDescent="0.35">
      <c r="E17" s="409"/>
      <c r="H17" s="434"/>
      <c r="J17" s="409"/>
      <c r="L17" s="434"/>
      <c r="N17" s="519"/>
      <c r="P17" s="434"/>
      <c r="Q17" s="424"/>
      <c r="R17" s="420"/>
    </row>
    <row r="18" spans="2:18" s="364" customFormat="1" x14ac:dyDescent="0.35">
      <c r="B18" s="364" t="s">
        <v>324</v>
      </c>
      <c r="C18" s="384" t="s">
        <v>333</v>
      </c>
      <c r="E18" s="483">
        <f>(+E19*E9)/1000</f>
        <v>46.908445495668047</v>
      </c>
      <c r="F18" s="480">
        <f>+F19*F9/1000</f>
        <v>23.126638890259116</v>
      </c>
      <c r="G18" s="480">
        <f>+G19*G9/1000</f>
        <v>37.644925268357305</v>
      </c>
      <c r="H18" s="481">
        <f t="shared" si="0"/>
        <v>107.68000965428448</v>
      </c>
      <c r="J18" s="479">
        <f>J19*J9/1000</f>
        <v>32.885737324796011</v>
      </c>
      <c r="K18" s="480">
        <f>K19*K9/1000</f>
        <v>7.1886167436843147</v>
      </c>
      <c r="L18" s="481">
        <f>SUM(J18:K18)</f>
        <v>40.074354068480325</v>
      </c>
      <c r="N18" s="523">
        <f>N19*N9/1000</f>
        <v>13.80028738735564</v>
      </c>
      <c r="O18" s="384"/>
      <c r="P18" s="529">
        <f>P19*P9/1000</f>
        <v>34.000120646602639</v>
      </c>
      <c r="Q18" s="423"/>
      <c r="R18" s="482">
        <f>+P18+L18+H18+N18</f>
        <v>195.55477175672308</v>
      </c>
    </row>
    <row r="19" spans="2:18" s="428" customFormat="1" ht="13" x14ac:dyDescent="0.3">
      <c r="B19" s="428" t="s">
        <v>325</v>
      </c>
      <c r="C19" s="429" t="s">
        <v>186</v>
      </c>
      <c r="E19" s="430">
        <f>+'EZDK Rebar'!E205</f>
        <v>469.08445495668047</v>
      </c>
      <c r="F19" s="436">
        <f>+'EZDK Wire'!E86/'EZDK Wire'!E6</f>
        <v>462.53277780518232</v>
      </c>
      <c r="G19" s="436">
        <f>+'EZDK Flat'!E205</f>
        <v>442.88147374538011</v>
      </c>
      <c r="H19" s="438">
        <f>+H18/H9*1000</f>
        <v>458.21280703950839</v>
      </c>
      <c r="J19" s="430">
        <f>+'EFS Rebar'!E205</f>
        <v>469.79624749708586</v>
      </c>
      <c r="K19" s="436">
        <f>'EFS Flat'!E205</f>
        <v>479.24111624562096</v>
      </c>
      <c r="L19" s="438">
        <f>+L18/L9*1000</f>
        <v>471.46298904094505</v>
      </c>
      <c r="N19" s="521">
        <f>+'ERM Rolling'!E86/'ERM Rolling'!E6</f>
        <v>460.00957957852131</v>
      </c>
      <c r="O19" s="429"/>
      <c r="P19" s="486">
        <f>'ESR Rebar'!E161</f>
        <v>485.71600923718063</v>
      </c>
      <c r="Q19" s="432"/>
      <c r="R19" s="433">
        <f>+R18/R9*1000</f>
        <v>465.60659942076927</v>
      </c>
    </row>
    <row r="20" spans="2:18" x14ac:dyDescent="0.35">
      <c r="E20" s="409"/>
      <c r="H20" s="434"/>
      <c r="J20" s="409"/>
      <c r="L20" s="434"/>
      <c r="N20" s="519"/>
      <c r="P20" s="434"/>
      <c r="Q20" s="424"/>
      <c r="R20" s="420"/>
    </row>
    <row r="21" spans="2:18" x14ac:dyDescent="0.35">
      <c r="B21" t="s">
        <v>326</v>
      </c>
      <c r="C21" s="224" t="s">
        <v>186</v>
      </c>
      <c r="E21" s="410">
        <v>0</v>
      </c>
      <c r="F21" s="224">
        <v>0.2</v>
      </c>
      <c r="G21" s="224">
        <v>0.8</v>
      </c>
      <c r="H21" s="456">
        <f>SUM(E21:G21)</f>
        <v>1</v>
      </c>
      <c r="J21" s="410">
        <v>0</v>
      </c>
      <c r="K21" s="224">
        <v>0.15</v>
      </c>
      <c r="L21" s="434">
        <f>+K21</f>
        <v>0.15</v>
      </c>
      <c r="N21" s="518">
        <v>0</v>
      </c>
      <c r="P21" s="452">
        <v>0</v>
      </c>
      <c r="Q21" s="424"/>
      <c r="R21" s="459">
        <f>+P21+L21+H21+N21</f>
        <v>1.1499999999999999</v>
      </c>
    </row>
    <row r="22" spans="2:18" x14ac:dyDescent="0.35">
      <c r="E22" s="409"/>
      <c r="H22" s="434"/>
      <c r="J22" s="409"/>
      <c r="L22" s="434"/>
      <c r="N22" s="519"/>
      <c r="P22" s="434"/>
      <c r="Q22" s="424"/>
      <c r="R22" s="420"/>
    </row>
    <row r="23" spans="2:18" s="445" customFormat="1" ht="31.5" customHeight="1" x14ac:dyDescent="0.35">
      <c r="B23" s="445" t="s">
        <v>328</v>
      </c>
      <c r="C23" s="413" t="s">
        <v>333</v>
      </c>
      <c r="E23" s="440">
        <f>E15-E18-E21</f>
        <v>10.498961911739372</v>
      </c>
      <c r="F23" s="446">
        <f>F15-F18-F21</f>
        <v>3.8807685171482929</v>
      </c>
      <c r="G23" s="446">
        <f>G15-G18-G21</f>
        <v>6.6772969538649152</v>
      </c>
      <c r="H23" s="441">
        <f>SUM(E23:G23)</f>
        <v>21.05702738275258</v>
      </c>
      <c r="J23" s="444">
        <f>J15-J18-J21</f>
        <v>7.2994478603891793</v>
      </c>
      <c r="K23" s="446">
        <f>K15-K18-K21</f>
        <v>0.60675362668605659</v>
      </c>
      <c r="L23" s="441">
        <f>SUM(I23:K23)</f>
        <v>7.9062014870752355</v>
      </c>
      <c r="N23" s="524">
        <f>N15-N18-N21</f>
        <v>3.4219348348665815</v>
      </c>
      <c r="O23" s="413"/>
      <c r="P23" s="441">
        <f>P15-P18-P21</f>
        <v>6.1850645385825516</v>
      </c>
      <c r="Q23" s="422"/>
      <c r="R23" s="458">
        <f>+P23+L23+H23+N23</f>
        <v>38.570228243276951</v>
      </c>
    </row>
    <row r="24" spans="2:18" s="428" customFormat="1" ht="13" x14ac:dyDescent="0.3">
      <c r="B24" s="428" t="s">
        <v>327</v>
      </c>
      <c r="C24" s="429" t="s">
        <v>186</v>
      </c>
      <c r="E24" s="430">
        <f>E23*1000/E9</f>
        <v>104.98961911739372</v>
      </c>
      <c r="F24" s="436">
        <f>F23*1000/F9</f>
        <v>77.615370342965846</v>
      </c>
      <c r="G24" s="436">
        <f>G23*1000/G9</f>
        <v>78.556434751351944</v>
      </c>
      <c r="H24" s="438">
        <f>+H23/H9*1000</f>
        <v>89.604371841500338</v>
      </c>
      <c r="J24" s="430">
        <f>J23*1000/J9</f>
        <v>104.27782657698828</v>
      </c>
      <c r="K24" s="436">
        <f>K23*1000/K9</f>
        <v>40.450241779070438</v>
      </c>
      <c r="L24" s="438">
        <f>+L23/L9*1000</f>
        <v>93.01413514206159</v>
      </c>
      <c r="N24" s="521">
        <f>N23*1000/N9</f>
        <v>114.06449449555271</v>
      </c>
      <c r="O24" s="429"/>
      <c r="P24" s="438">
        <f>P23*1000/P9</f>
        <v>88.358064836893604</v>
      </c>
      <c r="Q24" s="432"/>
      <c r="R24" s="460">
        <f>+R23/R9*1000</f>
        <v>91.833876769707032</v>
      </c>
    </row>
    <row r="25" spans="2:18" x14ac:dyDescent="0.35">
      <c r="B25" t="s">
        <v>251</v>
      </c>
      <c r="C25" s="224" t="s">
        <v>5</v>
      </c>
      <c r="E25" s="470">
        <f>E24/E16*100</f>
        <v>18.288514297868581</v>
      </c>
      <c r="F25" s="471">
        <f>F24/F16*100</f>
        <v>14.263646877621003</v>
      </c>
      <c r="G25" s="471">
        <f>G24/G16*100</f>
        <v>14.798244911298756</v>
      </c>
      <c r="H25" s="472">
        <f>H24/H16*100</f>
        <v>16.230544387059851</v>
      </c>
      <c r="I25" s="473"/>
      <c r="J25" s="470">
        <f>J24/J16*100</f>
        <v>18.164524629539891</v>
      </c>
      <c r="K25" s="471">
        <f>K24/K16*100</f>
        <v>7.6365681950931243</v>
      </c>
      <c r="L25" s="472">
        <f>L24/L16*100</f>
        <v>16.426574336856262</v>
      </c>
      <c r="M25" s="473"/>
      <c r="N25" s="525">
        <f>N24/N16*100</f>
        <v>19.869299041160794</v>
      </c>
      <c r="O25" s="474"/>
      <c r="P25" s="472">
        <f>P24/P16*100</f>
        <v>15.391404842555659</v>
      </c>
      <c r="Q25" s="475"/>
      <c r="R25" s="476">
        <f>R24/R16*100</f>
        <v>16.393678989810624</v>
      </c>
    </row>
    <row r="26" spans="2:18" x14ac:dyDescent="0.35">
      <c r="E26" s="409"/>
      <c r="H26" s="434"/>
      <c r="J26" s="409"/>
      <c r="L26" s="434"/>
      <c r="N26" s="519"/>
      <c r="P26" s="434"/>
      <c r="Q26" s="424"/>
      <c r="R26" s="420"/>
    </row>
    <row r="27" spans="2:18" x14ac:dyDescent="0.35">
      <c r="B27" t="s">
        <v>340</v>
      </c>
      <c r="E27" s="409"/>
      <c r="H27" s="434"/>
      <c r="J27" s="409"/>
      <c r="L27" s="434"/>
      <c r="N27" s="519"/>
      <c r="P27" s="434"/>
      <c r="Q27" s="424"/>
      <c r="R27" s="420"/>
    </row>
    <row r="28" spans="2:18" x14ac:dyDescent="0.35">
      <c r="B28" t="s">
        <v>20</v>
      </c>
      <c r="C28" s="224" t="s">
        <v>333</v>
      </c>
      <c r="E28" s="409"/>
      <c r="H28" s="434"/>
      <c r="J28" s="409"/>
      <c r="L28" s="434"/>
      <c r="N28" s="519">
        <v>0.17</v>
      </c>
      <c r="P28" s="434"/>
      <c r="Q28" s="424"/>
      <c r="R28" s="420">
        <f>+N28</f>
        <v>0.17</v>
      </c>
    </row>
    <row r="29" spans="2:18" x14ac:dyDescent="0.35">
      <c r="B29" t="s">
        <v>310</v>
      </c>
      <c r="C29" s="224" t="s">
        <v>333</v>
      </c>
      <c r="E29" s="409"/>
      <c r="H29" s="434"/>
      <c r="J29" s="409"/>
      <c r="L29" s="434"/>
      <c r="N29" s="519"/>
      <c r="P29" s="434"/>
      <c r="Q29" s="424"/>
      <c r="R29" s="420"/>
    </row>
    <row r="30" spans="2:18" x14ac:dyDescent="0.35">
      <c r="E30" s="409"/>
      <c r="H30" s="434"/>
      <c r="J30" s="409"/>
      <c r="L30" s="434"/>
      <c r="N30" s="519"/>
      <c r="P30" s="434"/>
      <c r="Q30" s="424"/>
      <c r="R30" s="420"/>
    </row>
    <row r="31" spans="2:18" x14ac:dyDescent="0.35">
      <c r="B31" t="s">
        <v>266</v>
      </c>
      <c r="C31" s="224" t="s">
        <v>333</v>
      </c>
      <c r="E31" s="426">
        <f>+'Fixed Cost'!D46</f>
        <v>2.4824999999999999</v>
      </c>
      <c r="F31" s="225">
        <f>+'Fixed Cost'!D54</f>
        <v>2.4824999999999999</v>
      </c>
      <c r="G31" s="225">
        <f>+'Fixed Cost'!D62</f>
        <v>4.9649999999999999</v>
      </c>
      <c r="H31" s="439">
        <f>SUM(E31:G31)</f>
        <v>9.93</v>
      </c>
      <c r="J31" s="409">
        <f>+'Fixed Cost'!E46</f>
        <v>1.77</v>
      </c>
      <c r="K31" s="224">
        <f>+'Fixed Cost'!E62</f>
        <v>1.77</v>
      </c>
      <c r="L31" s="434">
        <f>SUM(I31:K31)</f>
        <v>3.54</v>
      </c>
      <c r="N31" s="519">
        <f>+'Fixed Cost'!F7</f>
        <v>1.17</v>
      </c>
      <c r="P31" s="434">
        <f>+'Fixed Cost'!G46</f>
        <v>2.4500000000000002</v>
      </c>
      <c r="Q31" s="424"/>
      <c r="R31" s="421">
        <f>+P31+L31+H31+N31</f>
        <v>17.09</v>
      </c>
    </row>
    <row r="32" spans="2:18" x14ac:dyDescent="0.35">
      <c r="B32" t="s">
        <v>267</v>
      </c>
      <c r="C32" s="224" t="s">
        <v>333</v>
      </c>
      <c r="E32" s="426">
        <f>+'Fixed Cost'!D47</f>
        <v>0.91500000000000004</v>
      </c>
      <c r="F32" s="225">
        <f>+'Fixed Cost'!D55</f>
        <v>0.91500000000000004</v>
      </c>
      <c r="G32" s="225">
        <f>+'Fixed Cost'!D63</f>
        <v>1.83</v>
      </c>
      <c r="H32" s="439">
        <f>SUM(E32:G32)</f>
        <v>3.66</v>
      </c>
      <c r="J32" s="409">
        <f>+'Fixed Cost'!E47</f>
        <v>0.13</v>
      </c>
      <c r="K32" s="224">
        <f>+'Fixed Cost'!E63</f>
        <v>0.13</v>
      </c>
      <c r="L32" s="434">
        <f>SUM(I32:K32)</f>
        <v>0.26</v>
      </c>
      <c r="N32" s="519">
        <f>+'Fixed Cost'!F8</f>
        <v>0.84</v>
      </c>
      <c r="P32" s="434">
        <f>+'Fixed Cost'!G47</f>
        <v>2.38</v>
      </c>
      <c r="Q32" s="424"/>
      <c r="R32" s="421">
        <f>+P32+L32+H32+N32</f>
        <v>7.14</v>
      </c>
    </row>
    <row r="33" spans="2:21" ht="12.75" customHeight="1" x14ac:dyDescent="0.35">
      <c r="B33" t="s">
        <v>298</v>
      </c>
      <c r="C33" s="224" t="s">
        <v>333</v>
      </c>
      <c r="E33" s="426">
        <f>+'Fixed Cost'!D48</f>
        <v>1.7475000000000001</v>
      </c>
      <c r="F33" s="225">
        <f>+'Fixed Cost'!D56</f>
        <v>1.7475000000000001</v>
      </c>
      <c r="G33" s="225">
        <f>+'Fixed Cost'!D64</f>
        <v>3.4950000000000001</v>
      </c>
      <c r="H33" s="439">
        <f>SUM(E33:G33)</f>
        <v>6.99</v>
      </c>
      <c r="J33" s="409">
        <f>+'Fixed Cost'!E48</f>
        <v>1.21</v>
      </c>
      <c r="K33" s="224">
        <f>+'Fixed Cost'!E64</f>
        <v>1.21</v>
      </c>
      <c r="L33" s="434">
        <f>SUM(I33:K33)</f>
        <v>2.42</v>
      </c>
      <c r="N33" s="519">
        <f>+'Fixed Cost'!F9</f>
        <v>4.5199999999999996</v>
      </c>
      <c r="P33" s="434">
        <f>+'Fixed Cost'!G48</f>
        <v>5.17</v>
      </c>
      <c r="Q33" s="424"/>
      <c r="R33" s="421">
        <f>+P33+L33+H33+N33</f>
        <v>19.100000000000001</v>
      </c>
    </row>
    <row r="34" spans="2:21" s="445" customFormat="1" ht="25.5" customHeight="1" x14ac:dyDescent="0.35">
      <c r="B34" s="445" t="s">
        <v>332</v>
      </c>
      <c r="C34" s="413" t="s">
        <v>333</v>
      </c>
      <c r="E34" s="444">
        <f>SUM(E31:E33)</f>
        <v>5.1449999999999996</v>
      </c>
      <c r="F34" s="446">
        <f>SUM(F31:F33)</f>
        <v>5.1449999999999996</v>
      </c>
      <c r="G34" s="446">
        <f>SUM(G31:G33)</f>
        <v>10.29</v>
      </c>
      <c r="H34" s="441">
        <f>SUM(E34:G34)</f>
        <v>20.58</v>
      </c>
      <c r="J34" s="444">
        <f>SUM(J31:J33)</f>
        <v>3.11</v>
      </c>
      <c r="K34" s="446">
        <f>SUM(K31:K33)</f>
        <v>3.11</v>
      </c>
      <c r="L34" s="451">
        <f>SUM(I34:K34)</f>
        <v>6.22</v>
      </c>
      <c r="N34" s="526">
        <f>SUM(N31:N33)</f>
        <v>6.5299999999999994</v>
      </c>
      <c r="O34" s="413"/>
      <c r="P34" s="441">
        <f>SUM(P31:P33)</f>
        <v>10</v>
      </c>
      <c r="Q34" s="422"/>
      <c r="R34" s="443">
        <f>+P34+L34+H34+N34</f>
        <v>43.33</v>
      </c>
      <c r="T34" s="465"/>
      <c r="U34" s="466"/>
    </row>
    <row r="35" spans="2:21" x14ac:dyDescent="0.35">
      <c r="E35" s="409"/>
      <c r="H35" s="434"/>
      <c r="J35" s="409"/>
      <c r="L35" s="434"/>
      <c r="N35" s="519"/>
      <c r="P35" s="434"/>
      <c r="Q35" s="424"/>
      <c r="R35" s="461"/>
    </row>
    <row r="36" spans="2:21" x14ac:dyDescent="0.35">
      <c r="B36" t="s">
        <v>331</v>
      </c>
      <c r="C36" s="224" t="s">
        <v>333</v>
      </c>
      <c r="E36" s="427">
        <f>E23-E34</f>
        <v>5.353961911739372</v>
      </c>
      <c r="F36" s="247">
        <f>F23-F34</f>
        <v>-1.2642314828517067</v>
      </c>
      <c r="G36" s="247">
        <f>G23-G34</f>
        <v>-3.612703046135084</v>
      </c>
      <c r="H36" s="439">
        <f>SUM(E36:G36)</f>
        <v>0.47702738275258127</v>
      </c>
      <c r="J36" s="426">
        <f>J23-J34</f>
        <v>4.1894478603891798</v>
      </c>
      <c r="K36" s="225">
        <f>K23-K34</f>
        <v>-2.5032463733139432</v>
      </c>
      <c r="L36" s="439">
        <f>SUM(I36:K36)</f>
        <v>1.6862014870752366</v>
      </c>
      <c r="N36" s="520">
        <f>N23+N28-N34</f>
        <v>-2.938065165133418</v>
      </c>
      <c r="P36" s="439">
        <f>P23-P34</f>
        <v>-3.8149354614174484</v>
      </c>
      <c r="Q36" s="424"/>
      <c r="R36" s="459">
        <f>+P36+L36+H36+N36</f>
        <v>-4.5897717567230485</v>
      </c>
    </row>
    <row r="37" spans="2:21" s="428" customFormat="1" ht="13" x14ac:dyDescent="0.3">
      <c r="B37" s="428" t="s">
        <v>330</v>
      </c>
      <c r="C37" s="429" t="s">
        <v>186</v>
      </c>
      <c r="E37" s="430">
        <f>+E36/E9*1000</f>
        <v>53.53961911739372</v>
      </c>
      <c r="F37" s="436">
        <f>+F36/F9*1000</f>
        <v>-25.284629657034134</v>
      </c>
      <c r="G37" s="436">
        <f>+G36/G9*1000</f>
        <v>-42.50238877805981</v>
      </c>
      <c r="H37" s="438">
        <f>+H36/H9*1000</f>
        <v>2.0299037563939626</v>
      </c>
      <c r="J37" s="430">
        <f>+J36/J9*1000</f>
        <v>59.849255148416852</v>
      </c>
      <c r="K37" s="436">
        <f>+K36/K9*1000</f>
        <v>-166.88309155426288</v>
      </c>
      <c r="L37" s="438">
        <f>+L36/L9*1000</f>
        <v>19.837664553826311</v>
      </c>
      <c r="N37" s="521">
        <f>+N36/N9*1000</f>
        <v>-97.935505504447264</v>
      </c>
      <c r="O37" s="429"/>
      <c r="P37" s="438">
        <f>+P36/P9*1000</f>
        <v>-54.499078020249257</v>
      </c>
      <c r="Q37" s="432"/>
      <c r="R37" s="460">
        <f>+R36/R9*1000</f>
        <v>-10.928027992197736</v>
      </c>
    </row>
    <row r="38" spans="2:21" x14ac:dyDescent="0.35">
      <c r="B38" t="s">
        <v>251</v>
      </c>
      <c r="C38" s="224" t="s">
        <v>5</v>
      </c>
      <c r="E38" s="425">
        <f>E37/E16*100</f>
        <v>9.3262562333524528</v>
      </c>
      <c r="F38" s="230">
        <f>F37/F16*100</f>
        <v>-4.6466444373803544</v>
      </c>
      <c r="G38" s="230">
        <f>G37/G16*100</f>
        <v>-8.0064829882333814</v>
      </c>
      <c r="H38" s="437">
        <f>H37/H16*100</f>
        <v>0.36768789672327756</v>
      </c>
      <c r="J38" s="425">
        <f>J37/J16*100</f>
        <v>10.42535412262745</v>
      </c>
      <c r="K38" s="230">
        <f>K37/K16*100</f>
        <v>-31.505722913169304</v>
      </c>
      <c r="L38" s="437">
        <f>L37/L16*100</f>
        <v>3.5033908659726736</v>
      </c>
      <c r="N38" s="527">
        <f>N37/N16*100</f>
        <v>-17.059733216903716</v>
      </c>
      <c r="P38" s="437">
        <f>P37/P16*100</f>
        <v>-9.4933877841724517</v>
      </c>
      <c r="Q38" s="424"/>
      <c r="R38" s="461">
        <f>R37/R16*100</f>
        <v>-1.9508115000416739</v>
      </c>
    </row>
    <row r="39" spans="2:21" x14ac:dyDescent="0.35">
      <c r="E39" s="409"/>
      <c r="H39" s="434"/>
      <c r="J39" s="409"/>
      <c r="L39" s="434"/>
      <c r="N39" s="519"/>
      <c r="P39" s="439"/>
      <c r="Q39" s="424"/>
      <c r="R39" s="420"/>
    </row>
    <row r="40" spans="2:21" x14ac:dyDescent="0.35">
      <c r="B40" t="s">
        <v>269</v>
      </c>
      <c r="C40" s="224" t="s">
        <v>333</v>
      </c>
      <c r="E40" s="426">
        <f>'Fixed Cost'!D49</f>
        <v>0.59750000000000003</v>
      </c>
      <c r="F40" s="225">
        <f>+'Fixed Cost'!D57</f>
        <v>0.59750000000000003</v>
      </c>
      <c r="G40" s="225">
        <f>+'Fixed Cost'!D65</f>
        <v>1.1950000000000001</v>
      </c>
      <c r="H40" s="434">
        <f>SUM(E40:G40)</f>
        <v>2.39</v>
      </c>
      <c r="J40" s="409">
        <f>+'Fixed Cost'!E49</f>
        <v>1.26</v>
      </c>
      <c r="K40" s="224">
        <f>+'Fixed Cost'!E65</f>
        <v>1.26</v>
      </c>
      <c r="L40" s="434">
        <f>SUM(J40:K40)</f>
        <v>2.52</v>
      </c>
      <c r="N40" s="519">
        <f>+'Fixed Cost'!F11</f>
        <v>1.24</v>
      </c>
      <c r="P40" s="439">
        <f>+'Fixed Cost'!G11</f>
        <v>0.13</v>
      </c>
      <c r="Q40" s="424"/>
      <c r="R40" s="459">
        <f>+P40+L40+H40+N40</f>
        <v>6.28</v>
      </c>
    </row>
    <row r="41" spans="2:21" s="428" customFormat="1" ht="13" x14ac:dyDescent="0.3">
      <c r="B41" s="428" t="s">
        <v>352</v>
      </c>
      <c r="C41" s="429" t="s">
        <v>186</v>
      </c>
      <c r="E41" s="430">
        <f>(+E40+E34)/E9*1000</f>
        <v>57.424999999999997</v>
      </c>
      <c r="F41" s="436">
        <f>(+F40+F34)/F9*1000</f>
        <v>114.85</v>
      </c>
      <c r="G41" s="436">
        <f>(+G40+G34)/G9*1000</f>
        <v>135.11764705882351</v>
      </c>
      <c r="H41" s="438">
        <f>(H34+H40)*1000/H9</f>
        <v>97.744680851063833</v>
      </c>
      <c r="J41" s="430">
        <f>(+J40+J34)/J9*1000</f>
        <v>62.428571428571431</v>
      </c>
      <c r="K41" s="436">
        <f>(+K40+K34)/K9*1000</f>
        <v>291.33333333333331</v>
      </c>
      <c r="L41" s="438">
        <f>(L34+L40)*1000/L9</f>
        <v>102.82352941176471</v>
      </c>
      <c r="N41" s="521">
        <f>(+N40+N34)/N9*1000</f>
        <v>259</v>
      </c>
      <c r="O41" s="429"/>
      <c r="P41" s="438">
        <f>(+P40+P34)/P9*1000</f>
        <v>144.71428571428572</v>
      </c>
      <c r="Q41" s="432"/>
      <c r="R41" s="460">
        <f>(R34+R40)*1000/R9</f>
        <v>118.11904761904762</v>
      </c>
    </row>
    <row r="42" spans="2:21" x14ac:dyDescent="0.35">
      <c r="E42" s="409"/>
      <c r="H42" s="434"/>
      <c r="J42" s="409"/>
      <c r="L42" s="434"/>
      <c r="N42" s="519"/>
      <c r="P42" s="439"/>
      <c r="Q42" s="424"/>
      <c r="R42" s="420"/>
    </row>
    <row r="43" spans="2:21" s="445" customFormat="1" ht="25.5" customHeight="1" x14ac:dyDescent="0.35">
      <c r="B43" s="445" t="s">
        <v>329</v>
      </c>
      <c r="C43" s="413" t="s">
        <v>333</v>
      </c>
      <c r="E43" s="444">
        <f>+E36-E40</f>
        <v>4.7564619117393718</v>
      </c>
      <c r="F43" s="446">
        <f>+F36-F40</f>
        <v>-1.8617314828517069</v>
      </c>
      <c r="G43" s="446">
        <f>+G36-G40</f>
        <v>-4.8077030461350843</v>
      </c>
      <c r="H43" s="441">
        <f>SUM(E43:G43)</f>
        <v>-1.9129726172474193</v>
      </c>
      <c r="J43" s="444">
        <f>+J36-J40</f>
        <v>2.92944786038918</v>
      </c>
      <c r="K43" s="446">
        <f>+K36-K40</f>
        <v>-3.763246373313943</v>
      </c>
      <c r="L43" s="441">
        <f>SUM(I43:K43)</f>
        <v>-0.83379851292476292</v>
      </c>
      <c r="N43" s="524">
        <f>+N36-N40</f>
        <v>-4.1780651651334182</v>
      </c>
      <c r="O43" s="413"/>
      <c r="P43" s="441">
        <f>+P36-P40</f>
        <v>-3.9449354614174483</v>
      </c>
      <c r="Q43" s="422"/>
      <c r="R43" s="458">
        <f>+P43+L43+H43+N43</f>
        <v>-10.869771756723049</v>
      </c>
    </row>
    <row r="44" spans="2:21" s="428" customFormat="1" ht="13" x14ac:dyDescent="0.3">
      <c r="B44" s="428" t="s">
        <v>341</v>
      </c>
      <c r="C44" s="429" t="s">
        <v>186</v>
      </c>
      <c r="E44" s="430">
        <f>+E43/E9*1000</f>
        <v>47.564619117393718</v>
      </c>
      <c r="F44" s="436">
        <f>+F43/F9*1000</f>
        <v>-37.234629657034141</v>
      </c>
      <c r="G44" s="436">
        <f>+G43/G9*1000</f>
        <v>-56.561212307471585</v>
      </c>
      <c r="H44" s="438">
        <f>+H43/H9*1000</f>
        <v>-8.1403090095634862</v>
      </c>
      <c r="J44" s="430">
        <f>+J43/J9*1000</f>
        <v>41.849255148416859</v>
      </c>
      <c r="K44" s="436">
        <f>+K43/K9*1000</f>
        <v>-250.88309155426285</v>
      </c>
      <c r="L44" s="438">
        <f>+L43/L9*1000</f>
        <v>-9.8093942697030947</v>
      </c>
      <c r="N44" s="521">
        <f>+N43/N9*1000</f>
        <v>-139.26883883778061</v>
      </c>
      <c r="O44" s="429"/>
      <c r="P44" s="438">
        <f>+P43/P9*1000</f>
        <v>-56.356220877392118</v>
      </c>
      <c r="Q44" s="432"/>
      <c r="R44" s="460">
        <f>+R43/R9*1000</f>
        <v>-25.880408944578686</v>
      </c>
    </row>
    <row r="45" spans="2:21" ht="15" thickBot="1" x14ac:dyDescent="0.4">
      <c r="B45" t="s">
        <v>251</v>
      </c>
      <c r="C45" s="224" t="s">
        <v>5</v>
      </c>
      <c r="E45" s="448">
        <f>+E44/E16*100</f>
        <v>8.2854497817395494</v>
      </c>
      <c r="F45" s="402">
        <f>+F44/F16*100</f>
        <v>-6.8427375492779872</v>
      </c>
      <c r="G45" s="402">
        <f>+G44/G16*100</f>
        <v>-10.654845460530845</v>
      </c>
      <c r="H45" s="449">
        <f>+H44/H16*100</f>
        <v>-1.474500004729804</v>
      </c>
      <c r="J45" s="448">
        <f>+J44/J16*100</f>
        <v>7.2898702516597105</v>
      </c>
      <c r="K45" s="402">
        <f>+K44/K16*100</f>
        <v>-47.364014487577876</v>
      </c>
      <c r="L45" s="449">
        <f>+L44/L16*100</f>
        <v>-1.7323683537422214</v>
      </c>
      <c r="N45" s="528">
        <f>+N44/N16*100</f>
        <v>-24.259733216903719</v>
      </c>
      <c r="O45" s="372"/>
      <c r="P45" s="498">
        <f>+P44/P16*100</f>
        <v>-9.8168900883199175</v>
      </c>
      <c r="Q45" s="424"/>
      <c r="R45" s="462">
        <f>+R44/R16*100</f>
        <v>-4.6200283739126746</v>
      </c>
    </row>
    <row r="46" spans="2:21" ht="15" thickTop="1" x14ac:dyDescent="0.35">
      <c r="E46" s="225"/>
      <c r="F46" s="225"/>
      <c r="G46" s="225"/>
      <c r="H46" s="225"/>
      <c r="J46" s="225"/>
      <c r="K46" s="225"/>
      <c r="L46" s="225"/>
      <c r="N46" s="230"/>
      <c r="P46" s="230"/>
      <c r="R46" s="230"/>
    </row>
    <row r="47" spans="2:21" x14ac:dyDescent="0.35">
      <c r="B47" t="s">
        <v>391</v>
      </c>
      <c r="C47" s="563" t="s">
        <v>186</v>
      </c>
      <c r="E47" s="564">
        <f>E19+E41</f>
        <v>526.50945495668043</v>
      </c>
      <c r="F47" s="565">
        <f>F19+F41</f>
        <v>577.38277780518229</v>
      </c>
      <c r="G47" s="565">
        <f>G19+G41</f>
        <v>577.99912080420359</v>
      </c>
      <c r="H47" s="566">
        <f>H19+H41</f>
        <v>555.95748789057222</v>
      </c>
      <c r="J47" s="564">
        <f>J19+J41</f>
        <v>532.22481892565725</v>
      </c>
      <c r="K47" s="565">
        <f>K19+K41</f>
        <v>770.57444957895427</v>
      </c>
      <c r="L47" s="566">
        <f>L19+L41</f>
        <v>574.28651845270974</v>
      </c>
      <c r="N47" s="564">
        <f>N19+N41</f>
        <v>719.00957957852131</v>
      </c>
      <c r="O47" s="346"/>
      <c r="P47" s="566">
        <f>P19+P41</f>
        <v>630.43029495146629</v>
      </c>
      <c r="R47" s="567">
        <f>R19+R41</f>
        <v>583.72564703981686</v>
      </c>
    </row>
    <row r="48" spans="2:21" s="473" customFormat="1" ht="15" thickBot="1" x14ac:dyDescent="0.4">
      <c r="B48" s="473" t="s">
        <v>392</v>
      </c>
      <c r="C48" s="474" t="s">
        <v>393</v>
      </c>
      <c r="E48" s="568">
        <f>(E34+E40)/(E16-E19)*1000</f>
        <v>54.695883729028964</v>
      </c>
      <c r="F48" s="569">
        <f>(F34+F40)/(F16-F19)*1000</f>
        <v>70.360521258051577</v>
      </c>
      <c r="G48" s="569">
        <f>(G34+G40)/(G16-G19)*1000</f>
        <v>130.55854355167787</v>
      </c>
      <c r="H48" s="570">
        <f>(H34+H40)/(H16-H19)*1000</f>
        <v>244.72699363926546</v>
      </c>
      <c r="I48" s="571"/>
      <c r="J48" s="568">
        <f>(J34+J40)/(J16-J19)*1000</f>
        <v>41.90727926970775</v>
      </c>
      <c r="K48" s="569">
        <f>(K34+K40)/(K16-K19)*1000</f>
        <v>86.620001131747074</v>
      </c>
      <c r="L48" s="570">
        <f>(L34+L40)/(L16-L19)*1000</f>
        <v>92.214674768481586</v>
      </c>
      <c r="M48" s="571"/>
      <c r="N48" s="568">
        <f>(N34+N40)/(N16-N19)*1000</f>
        <v>68.1193568109219</v>
      </c>
      <c r="O48" s="569"/>
      <c r="P48" s="570">
        <f>(P34+P40)/(P16-P19)*1000</f>
        <v>114.64714645685932</v>
      </c>
      <c r="Q48" s="572"/>
      <c r="R48" s="573">
        <f>(R34+R40)/(R16-R19)*1000</f>
        <v>524.57402491202276</v>
      </c>
    </row>
    <row r="49" spans="5:18" ht="15" thickTop="1" x14ac:dyDescent="0.35">
      <c r="E49" s="225"/>
      <c r="F49" s="225"/>
      <c r="G49" s="225"/>
      <c r="H49" s="225"/>
      <c r="J49" s="225"/>
      <c r="K49" s="225"/>
      <c r="L49" s="225"/>
      <c r="N49" s="230"/>
      <c r="P49" s="230"/>
      <c r="R49" s="230"/>
    </row>
    <row r="50" spans="5:18" x14ac:dyDescent="0.35">
      <c r="H50" s="376">
        <f>1+'Production Requirments'!H47</f>
        <v>9</v>
      </c>
      <c r="I50" s="377" t="s">
        <v>388</v>
      </c>
    </row>
  </sheetData>
  <mergeCells count="3">
    <mergeCell ref="E4:H4"/>
    <mergeCell ref="J4:L4"/>
    <mergeCell ref="B2:R2"/>
  </mergeCells>
  <printOptions horizontalCentered="1"/>
  <pageMargins left="0.25" right="0.25" top="0.75" bottom="0.75" header="0.3" footer="0.3"/>
  <pageSetup scale="66" orientation="landscape" horizontalDpi="4294967295" verticalDpi="4294967295" r:id="rId1"/>
  <headerFooter>
    <oddFooter>&amp;C&amp;1#&amp;"Calibri"&amp;10&amp;K737373EZDK Business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U50"/>
  <sheetViews>
    <sheetView showGridLines="0" topLeftCell="A17" zoomScale="115" zoomScaleNormal="115" workbookViewId="0">
      <selection activeCell="H33" sqref="H33"/>
    </sheetView>
  </sheetViews>
  <sheetFormatPr defaultRowHeight="14.5" x14ac:dyDescent="0.35"/>
  <cols>
    <col min="2" max="2" width="29.7265625" bestFit="1" customWidth="1"/>
    <col min="3" max="3" width="9.1796875" style="224"/>
    <col min="5" max="5" width="10.54296875" style="224" customWidth="1"/>
    <col min="6" max="6" width="8.7265625" style="224" customWidth="1"/>
    <col min="7" max="7" width="9" style="224" customWidth="1"/>
    <col min="8" max="8" width="10" style="224" bestFit="1" customWidth="1"/>
    <col min="9" max="9" width="6.453125" customWidth="1"/>
    <col min="10" max="12" width="9.1796875" style="224"/>
    <col min="13" max="13" width="6.54296875" customWidth="1"/>
    <col min="14" max="14" width="9.1796875" style="224"/>
    <col min="15" max="15" width="2.453125" style="224" customWidth="1"/>
    <col min="16" max="16" width="10.54296875" style="224" customWidth="1"/>
    <col min="17" max="17" width="3.453125" style="224" customWidth="1"/>
    <col min="18" max="18" width="9.1796875" style="224"/>
    <col min="20" max="20" width="10.81640625" bestFit="1" customWidth="1"/>
  </cols>
  <sheetData>
    <row r="1" spans="2:18" ht="15" thickBot="1" x14ac:dyDescent="0.4"/>
    <row r="2" spans="2:18" ht="19" thickBot="1" x14ac:dyDescent="0.5">
      <c r="B2" s="812" t="s">
        <v>342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4"/>
    </row>
    <row r="4" spans="2:18" s="412" customFormat="1" ht="15.5" x14ac:dyDescent="0.35">
      <c r="B4" s="412" t="s">
        <v>190</v>
      </c>
      <c r="C4" s="413">
        <f>+'Fixed Cost'!D15</f>
        <v>16.2</v>
      </c>
      <c r="E4" s="809" t="s">
        <v>177</v>
      </c>
      <c r="F4" s="810"/>
      <c r="G4" s="810"/>
      <c r="H4" s="811"/>
      <c r="J4" s="809" t="s">
        <v>198</v>
      </c>
      <c r="K4" s="810"/>
      <c r="L4" s="811"/>
      <c r="N4" s="415" t="s">
        <v>179</v>
      </c>
      <c r="O4" s="416"/>
      <c r="P4" s="416" t="s">
        <v>199</v>
      </c>
      <c r="Q4" s="422"/>
      <c r="R4" s="418" t="s">
        <v>300</v>
      </c>
    </row>
    <row r="5" spans="2:18" s="364" customFormat="1" x14ac:dyDescent="0.35">
      <c r="B5" s="364" t="s">
        <v>230</v>
      </c>
      <c r="C5" s="384" t="s">
        <v>178</v>
      </c>
      <c r="E5" s="414" t="s">
        <v>285</v>
      </c>
      <c r="F5" s="384" t="s">
        <v>286</v>
      </c>
      <c r="G5" s="384" t="s">
        <v>287</v>
      </c>
      <c r="H5" s="435" t="s">
        <v>334</v>
      </c>
      <c r="J5" s="414" t="s">
        <v>285</v>
      </c>
      <c r="K5" s="384" t="s">
        <v>287</v>
      </c>
      <c r="L5" s="435" t="s">
        <v>334</v>
      </c>
      <c r="N5" s="530" t="s">
        <v>285</v>
      </c>
      <c r="O5" s="384"/>
      <c r="P5" s="435" t="s">
        <v>285</v>
      </c>
      <c r="Q5" s="423"/>
      <c r="R5" s="419"/>
    </row>
    <row r="6" spans="2:18" x14ac:dyDescent="0.35">
      <c r="E6" s="409"/>
      <c r="H6" s="434"/>
      <c r="J6" s="409"/>
      <c r="L6" s="434"/>
      <c r="N6" s="519"/>
      <c r="P6" s="434"/>
      <c r="Q6" s="424"/>
      <c r="R6" s="420"/>
    </row>
    <row r="7" spans="2:18" x14ac:dyDescent="0.35">
      <c r="B7" t="s">
        <v>101</v>
      </c>
      <c r="C7" s="224" t="s">
        <v>289</v>
      </c>
      <c r="E7" s="409">
        <f>+'Market Share'!E6</f>
        <v>100</v>
      </c>
      <c r="F7" s="224">
        <f>+'Market Share'!F6</f>
        <v>40</v>
      </c>
      <c r="G7" s="224">
        <f>+'Market Share'!G6</f>
        <v>45</v>
      </c>
      <c r="H7" s="434">
        <f>SUM(E7:G7)</f>
        <v>185</v>
      </c>
      <c r="I7" s="224"/>
      <c r="J7" s="409">
        <f>+'Market Share'!E7</f>
        <v>70</v>
      </c>
      <c r="K7" s="224">
        <f>+'Market Share'!G7</f>
        <v>7.5</v>
      </c>
      <c r="L7" s="450">
        <f>SUM(J7:K7)</f>
        <v>77.5</v>
      </c>
      <c r="N7" s="519">
        <f>+'Market Share'!E8</f>
        <v>30</v>
      </c>
      <c r="O7" s="510"/>
      <c r="P7" s="434">
        <f>+'Market Share'!E9</f>
        <v>70</v>
      </c>
      <c r="Q7" s="424"/>
      <c r="R7" s="421">
        <f>+P7+L7+H7+N7</f>
        <v>362.5</v>
      </c>
    </row>
    <row r="8" spans="2:18" x14ac:dyDescent="0.35">
      <c r="B8" t="s">
        <v>100</v>
      </c>
      <c r="C8" s="224" t="s">
        <v>289</v>
      </c>
      <c r="E8" s="410">
        <f>+'Market Share'!E19</f>
        <v>0</v>
      </c>
      <c r="F8" s="224">
        <f>+'Market Share'!F19</f>
        <v>10</v>
      </c>
      <c r="G8" s="224">
        <f>+'Market Share'!G19</f>
        <v>40</v>
      </c>
      <c r="H8" s="434">
        <f>SUM(E8:G8)</f>
        <v>50</v>
      </c>
      <c r="I8" s="224"/>
      <c r="J8" s="410">
        <f>+'Market Share'!E20</f>
        <v>0</v>
      </c>
      <c r="K8" s="224">
        <f>+'Market Share'!G20</f>
        <v>7.5</v>
      </c>
      <c r="L8" s="450">
        <f>SUM(J8:K8)</f>
        <v>7.5</v>
      </c>
      <c r="N8" s="410">
        <v>0</v>
      </c>
      <c r="O8" s="510"/>
      <c r="P8" s="411">
        <v>0</v>
      </c>
      <c r="Q8" s="424"/>
      <c r="R8" s="421">
        <f>+P8+L8+H8+N8</f>
        <v>57.5</v>
      </c>
    </row>
    <row r="9" spans="2:18" x14ac:dyDescent="0.35">
      <c r="B9" t="s">
        <v>288</v>
      </c>
      <c r="C9" s="224" t="s">
        <v>289</v>
      </c>
      <c r="E9" s="409">
        <f>SUM(E7:E8)</f>
        <v>100</v>
      </c>
      <c r="F9" s="224">
        <f>SUM(F7:F8)</f>
        <v>50</v>
      </c>
      <c r="G9" s="224">
        <f>SUM(G7:G8)</f>
        <v>85</v>
      </c>
      <c r="H9" s="434">
        <f>SUM(H7:H8)</f>
        <v>235</v>
      </c>
      <c r="I9" s="224"/>
      <c r="J9" s="409">
        <f>SUM(J7:J8)</f>
        <v>70</v>
      </c>
      <c r="K9" s="224">
        <f>SUM(K7:K8)</f>
        <v>15</v>
      </c>
      <c r="L9" s="450">
        <f>SUM(L7:L8)</f>
        <v>85</v>
      </c>
      <c r="N9" s="409">
        <f>SUM(N7:N8)</f>
        <v>30</v>
      </c>
      <c r="O9" s="510"/>
      <c r="P9" s="224">
        <f>SUM(P7:P8)</f>
        <v>70</v>
      </c>
      <c r="Q9" s="424"/>
      <c r="R9" s="421">
        <f>+P9+L9+H9+N9</f>
        <v>420</v>
      </c>
    </row>
    <row r="10" spans="2:18" x14ac:dyDescent="0.35">
      <c r="E10" s="409"/>
      <c r="H10" s="434"/>
      <c r="J10" s="409"/>
      <c r="L10" s="434"/>
      <c r="N10" s="409"/>
      <c r="O10" s="510"/>
      <c r="Q10" s="424"/>
      <c r="R10" s="420"/>
    </row>
    <row r="11" spans="2:18" x14ac:dyDescent="0.35">
      <c r="B11" t="s">
        <v>319</v>
      </c>
      <c r="C11" s="224" t="s">
        <v>344</v>
      </c>
      <c r="E11" s="425">
        <f>+E12*E7/1000</f>
        <v>930</v>
      </c>
      <c r="F11" s="230">
        <f>F12*F7/1000</f>
        <v>363</v>
      </c>
      <c r="G11" s="230">
        <f>G12*G7/1000</f>
        <v>400.5</v>
      </c>
      <c r="H11" s="450">
        <f t="shared" ref="H11:H18" si="0">SUM(E11:G11)</f>
        <v>1693.5</v>
      </c>
      <c r="I11" s="232"/>
      <c r="J11" s="425">
        <f>J12*J7/1000</f>
        <v>651</v>
      </c>
      <c r="K11" s="230">
        <f>+K12*K7/1000</f>
        <v>66.75</v>
      </c>
      <c r="L11" s="437">
        <f>SUM(J11:K11)</f>
        <v>717.75</v>
      </c>
      <c r="M11" s="232"/>
      <c r="N11" s="425">
        <f>N12*N7/1000</f>
        <v>279</v>
      </c>
      <c r="O11" s="511"/>
      <c r="P11" s="230">
        <f>+P12*P9/1000</f>
        <v>651</v>
      </c>
      <c r="Q11" s="424"/>
      <c r="R11" s="421">
        <f>+P11+L11+H11+N11</f>
        <v>3341.25</v>
      </c>
    </row>
    <row r="12" spans="2:18" s="428" customFormat="1" ht="13" x14ac:dyDescent="0.3">
      <c r="B12" s="428" t="s">
        <v>320</v>
      </c>
      <c r="C12" s="429" t="s">
        <v>345</v>
      </c>
      <c r="E12" s="485">
        <f>+'Market Share'!E29</f>
        <v>9300</v>
      </c>
      <c r="F12" s="447">
        <f>+'Market Share'!F29</f>
        <v>9075</v>
      </c>
      <c r="G12" s="447">
        <f>+'Market Share'!G29</f>
        <v>8900</v>
      </c>
      <c r="H12" s="486">
        <f>+H11/H7*1000</f>
        <v>9154.0540540540533</v>
      </c>
      <c r="J12" s="430">
        <f>+'Market Share'!E30</f>
        <v>9300</v>
      </c>
      <c r="K12" s="447">
        <f>+'Market Share'!G30</f>
        <v>8900</v>
      </c>
      <c r="L12" s="486">
        <f>+L11/L7*1000</f>
        <v>9261.2903225806458</v>
      </c>
      <c r="N12" s="430">
        <f>+'Market Share'!E31</f>
        <v>9300</v>
      </c>
      <c r="O12" s="512"/>
      <c r="P12" s="436">
        <f>+'Market Share'!E32</f>
        <v>9300</v>
      </c>
      <c r="Q12" s="432"/>
      <c r="R12" s="501">
        <f>+R11/R7*1000</f>
        <v>9217.2413793103442</v>
      </c>
    </row>
    <row r="13" spans="2:18" x14ac:dyDescent="0.35">
      <c r="B13" t="s">
        <v>321</v>
      </c>
      <c r="C13" s="224" t="s">
        <v>344</v>
      </c>
      <c r="E13" s="410">
        <f>E14*E8/1000</f>
        <v>0</v>
      </c>
      <c r="F13" s="230">
        <f>F14*F8/1000</f>
        <v>77.760000000000005</v>
      </c>
      <c r="G13" s="230">
        <f>+G14*G8/1000</f>
        <v>330.48</v>
      </c>
      <c r="H13" s="437">
        <f t="shared" si="0"/>
        <v>408.24</v>
      </c>
      <c r="J13" s="410">
        <v>0</v>
      </c>
      <c r="K13" s="230">
        <f>+K14*K8/1000</f>
        <v>61.965000000000003</v>
      </c>
      <c r="L13" s="502">
        <f>SUM(J13:K13)</f>
        <v>61.965000000000003</v>
      </c>
      <c r="N13" s="410">
        <v>0</v>
      </c>
      <c r="O13" s="510"/>
      <c r="P13" s="411">
        <v>0</v>
      </c>
      <c r="Q13" s="424"/>
      <c r="R13" s="421">
        <f>+P13+L13+H13+N13</f>
        <v>470.20500000000004</v>
      </c>
    </row>
    <row r="14" spans="2:18" s="428" customFormat="1" x14ac:dyDescent="0.3">
      <c r="B14" s="428" t="s">
        <v>320</v>
      </c>
      <c r="C14" s="429" t="s">
        <v>345</v>
      </c>
      <c r="E14" s="485">
        <f>+'Market Share'!E34*C4</f>
        <v>7938</v>
      </c>
      <c r="F14" s="447">
        <f>+'Market Share'!F34*C4</f>
        <v>7776</v>
      </c>
      <c r="G14" s="447">
        <f>+'Market Share'!G34*C4</f>
        <v>8262</v>
      </c>
      <c r="H14" s="486">
        <f>+H13/H8*1000</f>
        <v>8164.7999999999993</v>
      </c>
      <c r="J14" s="453">
        <v>0</v>
      </c>
      <c r="K14" s="447">
        <f>+'Market Share'!G35*C4</f>
        <v>8262</v>
      </c>
      <c r="L14" s="455">
        <v>0</v>
      </c>
      <c r="N14" s="410">
        <v>0</v>
      </c>
      <c r="O14" s="512"/>
      <c r="P14" s="454">
        <v>0</v>
      </c>
      <c r="Q14" s="432"/>
      <c r="R14" s="501">
        <f>+R13/R8*1000</f>
        <v>8177.4782608695668</v>
      </c>
    </row>
    <row r="15" spans="2:18" s="364" customFormat="1" x14ac:dyDescent="0.35">
      <c r="B15" s="364" t="s">
        <v>322</v>
      </c>
      <c r="C15" s="384" t="s">
        <v>344</v>
      </c>
      <c r="E15" s="487">
        <f>+E13+E11</f>
        <v>930</v>
      </c>
      <c r="F15" s="488">
        <f>+F13+F11</f>
        <v>440.76</v>
      </c>
      <c r="G15" s="488">
        <f>+G13+G11</f>
        <v>730.98</v>
      </c>
      <c r="H15" s="490">
        <f t="shared" si="0"/>
        <v>2101.7399999999998</v>
      </c>
      <c r="J15" s="499">
        <f>+J13+J11</f>
        <v>651</v>
      </c>
      <c r="K15" s="500">
        <f>+K13+K11</f>
        <v>128.715</v>
      </c>
      <c r="L15" s="490">
        <f>SUM(J15:K15)</f>
        <v>779.71500000000003</v>
      </c>
      <c r="N15" s="503">
        <f>+N13+N11</f>
        <v>279</v>
      </c>
      <c r="O15" s="513"/>
      <c r="P15" s="488">
        <f>+P13+P11</f>
        <v>651</v>
      </c>
      <c r="Q15" s="423"/>
      <c r="R15" s="482">
        <f>+P15+L15+H15+N15</f>
        <v>3811.4549999999999</v>
      </c>
    </row>
    <row r="16" spans="2:18" s="428" customFormat="1" ht="13" x14ac:dyDescent="0.3">
      <c r="B16" s="428" t="s">
        <v>323</v>
      </c>
      <c r="C16" s="429" t="s">
        <v>345</v>
      </c>
      <c r="E16" s="485">
        <f>+E15*1000/(E9)</f>
        <v>9300</v>
      </c>
      <c r="F16" s="447">
        <f>F15/F9*1000</f>
        <v>8815.1999999999989</v>
      </c>
      <c r="G16" s="447">
        <f>+G15/G9*1000</f>
        <v>8599.7647058823532</v>
      </c>
      <c r="H16" s="486">
        <f>+H15/H9*1000</f>
        <v>8943.5744680851039</v>
      </c>
      <c r="J16" s="485">
        <f>+J15*1000/(J9)</f>
        <v>9300</v>
      </c>
      <c r="K16" s="447">
        <f>+K15*1000/(K9)</f>
        <v>8581</v>
      </c>
      <c r="L16" s="486">
        <f>+L15/L9*1000</f>
        <v>9173.1176470588234</v>
      </c>
      <c r="N16" s="430">
        <f>+N15*1000/(N9)</f>
        <v>9300</v>
      </c>
      <c r="O16" s="512"/>
      <c r="P16" s="436">
        <f>P15/P9*1000</f>
        <v>9300</v>
      </c>
      <c r="Q16" s="432"/>
      <c r="R16" s="460">
        <f>+R15/R9*1000</f>
        <v>9074.8928571428569</v>
      </c>
    </row>
    <row r="17" spans="2:18" x14ac:dyDescent="0.35">
      <c r="E17" s="409"/>
      <c r="H17" s="434"/>
      <c r="J17" s="409"/>
      <c r="L17" s="434"/>
      <c r="N17" s="409"/>
      <c r="O17" s="510"/>
      <c r="Q17" s="424"/>
      <c r="R17" s="420"/>
    </row>
    <row r="18" spans="2:18" s="364" customFormat="1" x14ac:dyDescent="0.35">
      <c r="B18" s="364" t="s">
        <v>324</v>
      </c>
      <c r="C18" s="384" t="s">
        <v>344</v>
      </c>
      <c r="E18" s="483">
        <f>(+E19*E9)/1000</f>
        <v>759.91681702982225</v>
      </c>
      <c r="F18" s="480">
        <f>+F19*F9/1000</f>
        <v>374.65155002219768</v>
      </c>
      <c r="G18" s="480">
        <f>+G19*G9/1000</f>
        <v>609.84778934738847</v>
      </c>
      <c r="H18" s="481">
        <f t="shared" si="0"/>
        <v>1744.4161563994085</v>
      </c>
      <c r="J18" s="487">
        <f>J19*J9/1000</f>
        <v>532.7489446616953</v>
      </c>
      <c r="K18" s="488">
        <f>K19*K9/1000</f>
        <v>116.45559124768589</v>
      </c>
      <c r="L18" s="489">
        <f>SUM(J18:K18)</f>
        <v>649.20453590938121</v>
      </c>
      <c r="N18" s="479">
        <f>N19*N9/1000</f>
        <v>223.56465567516133</v>
      </c>
      <c r="O18" s="513"/>
      <c r="P18" s="484">
        <f>P19*P9/1000</f>
        <v>550.80195447496283</v>
      </c>
      <c r="Q18" s="423"/>
      <c r="R18" s="482">
        <f>+P18+L18+H18+N18</f>
        <v>3167.9873024589137</v>
      </c>
    </row>
    <row r="19" spans="2:18" s="428" customFormat="1" ht="13" x14ac:dyDescent="0.3">
      <c r="B19" s="428" t="s">
        <v>325</v>
      </c>
      <c r="C19" s="429" t="s">
        <v>345</v>
      </c>
      <c r="E19" s="485">
        <f>+'EZDK Rebar'!E205*C4</f>
        <v>7599.1681702982232</v>
      </c>
      <c r="F19" s="447">
        <f>+'EZDK Wire'!E86</f>
        <v>7493.0310004439534</v>
      </c>
      <c r="G19" s="447">
        <f>+'EZDK Flat'!E205*C4</f>
        <v>7174.6798746751574</v>
      </c>
      <c r="H19" s="486">
        <f>+H18/H9*1000</f>
        <v>7423.0474740400359</v>
      </c>
      <c r="J19" s="485">
        <f>+'EFS Rebar'!E205*C4</f>
        <v>7610.6992094527905</v>
      </c>
      <c r="K19" s="447">
        <f>'EFS Flat'!E205*C4</f>
        <v>7763.7060831790595</v>
      </c>
      <c r="L19" s="486">
        <f>+L18/L9*1000</f>
        <v>7637.7004224633083</v>
      </c>
      <c r="N19" s="485">
        <f>+'ERM Rolling'!E86</f>
        <v>7452.1551891720446</v>
      </c>
      <c r="O19" s="512"/>
      <c r="P19" s="447">
        <f>'ESR Rebar'!E161*C4</f>
        <v>7868.5993496423262</v>
      </c>
      <c r="Q19" s="432"/>
      <c r="R19" s="501">
        <f>+R18/R9*1000</f>
        <v>7542.8269106164607</v>
      </c>
    </row>
    <row r="20" spans="2:18" x14ac:dyDescent="0.35">
      <c r="E20" s="409"/>
      <c r="H20" s="434"/>
      <c r="J20" s="409"/>
      <c r="L20" s="434"/>
      <c r="N20" s="409"/>
      <c r="O20" s="510"/>
      <c r="Q20" s="424"/>
      <c r="R20" s="420"/>
    </row>
    <row r="21" spans="2:18" x14ac:dyDescent="0.35">
      <c r="B21" t="s">
        <v>326</v>
      </c>
      <c r="C21" s="224" t="s">
        <v>345</v>
      </c>
      <c r="E21" s="410">
        <v>0</v>
      </c>
      <c r="F21" s="230">
        <f>+C4*0.2</f>
        <v>3.24</v>
      </c>
      <c r="G21" s="230">
        <f>+C4*0.8</f>
        <v>12.96</v>
      </c>
      <c r="H21" s="450">
        <f>SUM(E21:G21)</f>
        <v>16.200000000000003</v>
      </c>
      <c r="J21" s="410">
        <v>0</v>
      </c>
      <c r="K21" s="230">
        <f>+C4*0.15</f>
        <v>2.4299999999999997</v>
      </c>
      <c r="L21" s="437">
        <f>+K21</f>
        <v>2.4299999999999997</v>
      </c>
      <c r="N21" s="410">
        <v>0</v>
      </c>
      <c r="O21" s="510"/>
      <c r="P21" s="411">
        <v>0</v>
      </c>
      <c r="Q21" s="424"/>
      <c r="R21" s="421">
        <f>+P21+L21+H21+N21</f>
        <v>18.630000000000003</v>
      </c>
    </row>
    <row r="22" spans="2:18" x14ac:dyDescent="0.35">
      <c r="E22" s="409"/>
      <c r="H22" s="434"/>
      <c r="J22" s="409"/>
      <c r="L22" s="434"/>
      <c r="N22" s="409"/>
      <c r="O22" s="510"/>
      <c r="Q22" s="424"/>
      <c r="R22" s="420"/>
    </row>
    <row r="23" spans="2:18" s="445" customFormat="1" ht="31.5" customHeight="1" x14ac:dyDescent="0.35">
      <c r="B23" s="445" t="s">
        <v>328</v>
      </c>
      <c r="C23" s="413" t="s">
        <v>344</v>
      </c>
      <c r="E23" s="491">
        <f>E15-E18-E21</f>
        <v>170.08318297017775</v>
      </c>
      <c r="F23" s="492">
        <f>F15-F18-F21</f>
        <v>62.868449977802307</v>
      </c>
      <c r="G23" s="492">
        <f>G15-G18-G21</f>
        <v>108.17221065261154</v>
      </c>
      <c r="H23" s="493">
        <f>SUM(E23:G23)</f>
        <v>341.12384360059161</v>
      </c>
      <c r="J23" s="494">
        <f>J15-J18-J21</f>
        <v>118.2510553383047</v>
      </c>
      <c r="K23" s="492">
        <f>K15-K18-K21</f>
        <v>9.8294087523141158</v>
      </c>
      <c r="L23" s="493">
        <f>SUM(I23:K23)</f>
        <v>128.08046409061882</v>
      </c>
      <c r="N23" s="494">
        <f>N15-N18-N21</f>
        <v>55.435344324838667</v>
      </c>
      <c r="O23" s="514"/>
      <c r="P23" s="492">
        <f>P15-P18-P21</f>
        <v>100.19804552503717</v>
      </c>
      <c r="Q23" s="504"/>
      <c r="R23" s="505">
        <f>+P23+L23+H23+N23</f>
        <v>624.83769754108619</v>
      </c>
    </row>
    <row r="24" spans="2:18" s="428" customFormat="1" ht="13" x14ac:dyDescent="0.3">
      <c r="B24" s="428" t="s">
        <v>327</v>
      </c>
      <c r="C24" s="429" t="s">
        <v>345</v>
      </c>
      <c r="E24" s="485">
        <f>E23*1000/E9</f>
        <v>1700.8318297017772</v>
      </c>
      <c r="F24" s="447">
        <f>F23*1000/F9</f>
        <v>1257.3689995560462</v>
      </c>
      <c r="G24" s="447">
        <f>G23*1000/G9</f>
        <v>1272.6142429719005</v>
      </c>
      <c r="H24" s="486">
        <f>+H23/H9*1000</f>
        <v>1451.5908238323047</v>
      </c>
      <c r="J24" s="485">
        <f>J23*1000/J9</f>
        <v>1689.30079054721</v>
      </c>
      <c r="K24" s="447">
        <f>K23*1000/K9</f>
        <v>655.29391682094104</v>
      </c>
      <c r="L24" s="486">
        <f>+L23/L9*1000</f>
        <v>1506.828989301398</v>
      </c>
      <c r="N24" s="485">
        <f>N23*1000/N9</f>
        <v>1847.8448108279556</v>
      </c>
      <c r="O24" s="515"/>
      <c r="P24" s="447">
        <f>P23*1000/P9</f>
        <v>1431.4006503576738</v>
      </c>
      <c r="Q24" s="506"/>
      <c r="R24" s="501">
        <f>+R23/R9*1000</f>
        <v>1487.7088036692528</v>
      </c>
    </row>
    <row r="25" spans="2:18" x14ac:dyDescent="0.35">
      <c r="B25" t="s">
        <v>251</v>
      </c>
      <c r="C25" s="224" t="s">
        <v>5</v>
      </c>
      <c r="E25" s="470">
        <f>E24/E16*100</f>
        <v>18.28851429786857</v>
      </c>
      <c r="F25" s="471">
        <f>F24/F16*100</f>
        <v>14.263646877620999</v>
      </c>
      <c r="G25" s="471">
        <f>G24/G16*100</f>
        <v>14.798244911298742</v>
      </c>
      <c r="H25" s="472">
        <f>H24/H16*100</f>
        <v>16.230544387059851</v>
      </c>
      <c r="I25" s="473"/>
      <c r="J25" s="470">
        <f>J24/J16*100</f>
        <v>18.164524629539894</v>
      </c>
      <c r="K25" s="471">
        <f>K24/K16*100</f>
        <v>7.6365681950931243</v>
      </c>
      <c r="L25" s="472">
        <f>L24/L16*100</f>
        <v>16.426574336856266</v>
      </c>
      <c r="M25" s="473"/>
      <c r="N25" s="470">
        <f>N24/N16*100</f>
        <v>19.869299041160811</v>
      </c>
      <c r="O25" s="516"/>
      <c r="P25" s="471">
        <f>P24/P16*100</f>
        <v>15.391404842555634</v>
      </c>
      <c r="Q25" s="475"/>
      <c r="R25" s="476">
        <f>R24/R16*100</f>
        <v>16.393678989810613</v>
      </c>
    </row>
    <row r="26" spans="2:18" x14ac:dyDescent="0.35">
      <c r="E26" s="409"/>
      <c r="H26" s="434"/>
      <c r="J26" s="409"/>
      <c r="L26" s="434"/>
      <c r="N26" s="409"/>
      <c r="O26" s="510"/>
      <c r="Q26" s="424"/>
      <c r="R26" s="420"/>
    </row>
    <row r="27" spans="2:18" x14ac:dyDescent="0.35">
      <c r="B27" t="s">
        <v>340</v>
      </c>
      <c r="E27" s="409"/>
      <c r="H27" s="434"/>
      <c r="J27" s="409"/>
      <c r="L27" s="434"/>
      <c r="N27" s="409"/>
      <c r="O27" s="510"/>
      <c r="Q27" s="424"/>
      <c r="R27" s="420"/>
    </row>
    <row r="28" spans="2:18" x14ac:dyDescent="0.35">
      <c r="B28" t="s">
        <v>20</v>
      </c>
      <c r="C28" s="224" t="s">
        <v>344</v>
      </c>
      <c r="E28" s="409"/>
      <c r="H28" s="434"/>
      <c r="J28" s="409"/>
      <c r="L28" s="434"/>
      <c r="N28" s="425">
        <f>0.17*C4</f>
        <v>2.754</v>
      </c>
      <c r="O28" s="510"/>
      <c r="Q28" s="424"/>
      <c r="R28" s="461">
        <f>+N28</f>
        <v>2.754</v>
      </c>
    </row>
    <row r="29" spans="2:18" x14ac:dyDescent="0.35">
      <c r="B29" t="s">
        <v>310</v>
      </c>
      <c r="C29" s="224" t="s">
        <v>344</v>
      </c>
      <c r="E29" s="409"/>
      <c r="H29" s="434"/>
      <c r="J29" s="409"/>
      <c r="L29" s="434"/>
      <c r="N29" s="409"/>
      <c r="O29" s="510"/>
      <c r="Q29" s="424"/>
      <c r="R29" s="420"/>
    </row>
    <row r="30" spans="2:18" x14ac:dyDescent="0.35">
      <c r="E30" s="409"/>
      <c r="H30" s="434"/>
      <c r="J30" s="409"/>
      <c r="L30" s="434"/>
      <c r="N30" s="409"/>
      <c r="O30" s="510"/>
      <c r="Q30" s="424"/>
      <c r="R30" s="420"/>
    </row>
    <row r="31" spans="2:18" x14ac:dyDescent="0.35">
      <c r="B31" t="s">
        <v>266</v>
      </c>
      <c r="C31" s="224" t="s">
        <v>344</v>
      </c>
      <c r="E31" s="425">
        <f>+'Fixed Cost'!D46*C4</f>
        <v>40.216499999999996</v>
      </c>
      <c r="F31" s="230">
        <f>+'Fixed Cost'!D54*C4</f>
        <v>40.216499999999996</v>
      </c>
      <c r="G31" s="230">
        <f>+'Fixed Cost'!D62*C4</f>
        <v>80.432999999999993</v>
      </c>
      <c r="H31" s="437">
        <f>SUM(E31:G31)</f>
        <v>160.86599999999999</v>
      </c>
      <c r="J31" s="425">
        <f>+'Fixed Cost'!E46*C4</f>
        <v>28.673999999999999</v>
      </c>
      <c r="K31" s="230">
        <f>+'Fixed Cost'!E62*C4</f>
        <v>28.673999999999999</v>
      </c>
      <c r="L31" s="437">
        <f>SUM(I31:K31)</f>
        <v>57.347999999999999</v>
      </c>
      <c r="N31" s="425">
        <f>+'Fixed Cost'!F7*C4</f>
        <v>18.953999999999997</v>
      </c>
      <c r="O31" s="511"/>
      <c r="P31" s="230">
        <f>+'Fixed Cost'!G46*C4</f>
        <v>39.69</v>
      </c>
      <c r="Q31" s="424"/>
      <c r="R31" s="421">
        <f>+P31+L31+H31+N31</f>
        <v>276.858</v>
      </c>
    </row>
    <row r="32" spans="2:18" x14ac:dyDescent="0.35">
      <c r="B32" t="s">
        <v>267</v>
      </c>
      <c r="C32" s="224" t="s">
        <v>344</v>
      </c>
      <c r="E32" s="425">
        <f>+'Fixed Cost'!D47*C4</f>
        <v>14.823</v>
      </c>
      <c r="F32" s="230">
        <f>+'Fixed Cost'!D55*C4</f>
        <v>14.823</v>
      </c>
      <c r="G32" s="230">
        <f>+'Fixed Cost'!D63*C4</f>
        <v>29.646000000000001</v>
      </c>
      <c r="H32" s="437">
        <f>SUM(E32:G32)</f>
        <v>59.292000000000002</v>
      </c>
      <c r="J32" s="425">
        <f>+'Fixed Cost'!E47*C4</f>
        <v>2.1059999999999999</v>
      </c>
      <c r="K32" s="230">
        <f>+'Fixed Cost'!E63*C4</f>
        <v>2.1059999999999999</v>
      </c>
      <c r="L32" s="437">
        <f>SUM(I32:K32)</f>
        <v>4.2119999999999997</v>
      </c>
      <c r="N32" s="425">
        <f>+'Fixed Cost'!F8*C4</f>
        <v>13.607999999999999</v>
      </c>
      <c r="O32" s="511"/>
      <c r="P32" s="230">
        <f>+'Fixed Cost'!G47*C4</f>
        <v>38.555999999999997</v>
      </c>
      <c r="Q32" s="424"/>
      <c r="R32" s="421">
        <f>+P32+L32+H32+N32</f>
        <v>115.66800000000001</v>
      </c>
    </row>
    <row r="33" spans="2:21" ht="12.75" customHeight="1" x14ac:dyDescent="0.35">
      <c r="B33" t="s">
        <v>298</v>
      </c>
      <c r="C33" s="224" t="s">
        <v>344</v>
      </c>
      <c r="E33" s="425">
        <f>+'Fixed Cost'!D48*C4</f>
        <v>28.3095</v>
      </c>
      <c r="F33" s="230">
        <f>+'Fixed Cost'!D56*C4</f>
        <v>28.3095</v>
      </c>
      <c r="G33" s="230">
        <f>+'Fixed Cost'!D64*C4</f>
        <v>56.619</v>
      </c>
      <c r="H33" s="437">
        <f>SUM(E33:G33)</f>
        <v>113.238</v>
      </c>
      <c r="J33" s="425">
        <f>+'Fixed Cost'!E48*C4</f>
        <v>19.602</v>
      </c>
      <c r="K33" s="230">
        <f>+'Fixed Cost'!E64*C4</f>
        <v>19.602</v>
      </c>
      <c r="L33" s="437">
        <f>SUM(I33:K33)</f>
        <v>39.204000000000001</v>
      </c>
      <c r="N33" s="425">
        <f>+'Fixed Cost'!F9*C4</f>
        <v>73.22399999999999</v>
      </c>
      <c r="O33" s="511"/>
      <c r="P33" s="230">
        <f>+'Fixed Cost'!G48*C4</f>
        <v>83.753999999999991</v>
      </c>
      <c r="Q33" s="424"/>
      <c r="R33" s="421">
        <f>+P33+L33+H33+N33</f>
        <v>309.41999999999996</v>
      </c>
    </row>
    <row r="34" spans="2:21" s="445" customFormat="1" ht="25.5" customHeight="1" x14ac:dyDescent="0.35">
      <c r="B34" s="445" t="s">
        <v>332</v>
      </c>
      <c r="C34" s="413" t="s">
        <v>344</v>
      </c>
      <c r="E34" s="494">
        <f>SUM(E31:E33)</f>
        <v>83.34899999999999</v>
      </c>
      <c r="F34" s="492">
        <f>SUM(F31:F33)</f>
        <v>83.34899999999999</v>
      </c>
      <c r="G34" s="492">
        <f>SUM(G31:G33)</f>
        <v>166.69799999999998</v>
      </c>
      <c r="H34" s="441">
        <f>SUM(E34:G34)</f>
        <v>333.39599999999996</v>
      </c>
      <c r="J34" s="494">
        <f>SUM(J31:J33)</f>
        <v>50.382000000000005</v>
      </c>
      <c r="K34" s="492">
        <f>SUM(K31:K33)</f>
        <v>50.382000000000005</v>
      </c>
      <c r="L34" s="493">
        <f>SUM(I34:K34)</f>
        <v>100.76400000000001</v>
      </c>
      <c r="N34" s="494">
        <f>SUM(N31:N33)</f>
        <v>105.78599999999999</v>
      </c>
      <c r="O34" s="514"/>
      <c r="P34" s="492">
        <f>SUM(P31:P33)</f>
        <v>162</v>
      </c>
      <c r="Q34" s="422"/>
      <c r="R34" s="505">
        <f>+P34+L34+H34+N34</f>
        <v>701.94599999999991</v>
      </c>
      <c r="T34" s="465"/>
      <c r="U34" s="466"/>
    </row>
    <row r="35" spans="2:21" x14ac:dyDescent="0.35">
      <c r="E35" s="409"/>
      <c r="H35" s="434"/>
      <c r="J35" s="409"/>
      <c r="L35" s="434"/>
      <c r="N35" s="409"/>
      <c r="O35" s="510"/>
      <c r="Q35" s="424"/>
      <c r="R35" s="461"/>
    </row>
    <row r="36" spans="2:21" x14ac:dyDescent="0.35">
      <c r="B36" t="s">
        <v>331</v>
      </c>
      <c r="C36" s="224" t="s">
        <v>344</v>
      </c>
      <c r="E36" s="495">
        <f>E23-E34</f>
        <v>86.734182970177756</v>
      </c>
      <c r="F36" s="381">
        <f>F23-F34</f>
        <v>-20.480550022197683</v>
      </c>
      <c r="G36" s="381">
        <f>G23-G34</f>
        <v>-58.525789347388439</v>
      </c>
      <c r="H36" s="450">
        <f>SUM(E36:G36)</f>
        <v>7.7278436005916262</v>
      </c>
      <c r="J36" s="425">
        <f>J23-J34</f>
        <v>67.86905533830469</v>
      </c>
      <c r="K36" s="230">
        <f>K23-K34</f>
        <v>-40.552591247685889</v>
      </c>
      <c r="L36" s="437">
        <f>SUM(I36:K36)</f>
        <v>27.316464090618801</v>
      </c>
      <c r="N36" s="425">
        <f>N23+N28-N34</f>
        <v>-47.596655675161323</v>
      </c>
      <c r="O36" s="511"/>
      <c r="P36" s="230">
        <f>P23-P34</f>
        <v>-61.801954474962827</v>
      </c>
      <c r="Q36" s="508"/>
      <c r="R36" s="461">
        <f>+P36+L36+H36+N36</f>
        <v>-74.354302458913722</v>
      </c>
    </row>
    <row r="37" spans="2:21" s="428" customFormat="1" ht="13" x14ac:dyDescent="0.3">
      <c r="B37" s="428" t="s">
        <v>330</v>
      </c>
      <c r="C37" s="429" t="s">
        <v>345</v>
      </c>
      <c r="E37" s="485">
        <f>+E36/E9*1000</f>
        <v>867.34182970177756</v>
      </c>
      <c r="F37" s="447">
        <f>+F36/F9*1000</f>
        <v>-409.61100044395363</v>
      </c>
      <c r="G37" s="447">
        <f>+G36/G9*1000</f>
        <v>-688.53869820456987</v>
      </c>
      <c r="H37" s="486">
        <f>+H36/H9*1000</f>
        <v>32.884440853581388</v>
      </c>
      <c r="I37" s="509"/>
      <c r="J37" s="485">
        <f>+J36/J9*1000</f>
        <v>969.55793340435275</v>
      </c>
      <c r="K37" s="447">
        <f>+K36/K9*1000</f>
        <v>-2703.5060831790593</v>
      </c>
      <c r="L37" s="486">
        <f>+L36/L9*1000</f>
        <v>321.37016577198591</v>
      </c>
      <c r="M37" s="509"/>
      <c r="N37" s="485">
        <f>+N36/N9*1000</f>
        <v>-1586.5551891720443</v>
      </c>
      <c r="O37" s="515"/>
      <c r="P37" s="447">
        <f>+P36/P9*1000</f>
        <v>-882.88506392804038</v>
      </c>
      <c r="Q37" s="506"/>
      <c r="R37" s="501">
        <f>+R36/R9*1000</f>
        <v>-177.0340534736041</v>
      </c>
    </row>
    <row r="38" spans="2:21" x14ac:dyDescent="0.35">
      <c r="B38" t="s">
        <v>251</v>
      </c>
      <c r="C38" s="224" t="s">
        <v>5</v>
      </c>
      <c r="E38" s="425">
        <f>E37/E16*100</f>
        <v>9.3262562333524457</v>
      </c>
      <c r="F38" s="230">
        <f>F37/F16*100</f>
        <v>-4.6466444373803624</v>
      </c>
      <c r="G38" s="230">
        <f>G37/G16*100</f>
        <v>-8.0064829882333903</v>
      </c>
      <c r="H38" s="437">
        <f>H37/H16*100</f>
        <v>0.36768789672326874</v>
      </c>
      <c r="J38" s="425">
        <f>J37/J16*100</f>
        <v>10.425354122627448</v>
      </c>
      <c r="K38" s="230">
        <f>K37/K16*100</f>
        <v>-31.505722913169322</v>
      </c>
      <c r="L38" s="437">
        <f>L37/L16*100</f>
        <v>3.50339086597267</v>
      </c>
      <c r="N38" s="425">
        <f>N37/N16*100</f>
        <v>-17.059733216903702</v>
      </c>
      <c r="O38" s="510"/>
      <c r="P38" s="230">
        <f>P37/P16*100</f>
        <v>-9.4933877841724765</v>
      </c>
      <c r="Q38" s="424"/>
      <c r="R38" s="507">
        <f>R37/R16*100</f>
        <v>-1.950811500041683</v>
      </c>
    </row>
    <row r="39" spans="2:21" x14ac:dyDescent="0.35">
      <c r="E39" s="409"/>
      <c r="H39" s="434"/>
      <c r="J39" s="409"/>
      <c r="L39" s="434"/>
      <c r="N39" s="409"/>
      <c r="O39" s="510"/>
      <c r="P39" s="225"/>
      <c r="Q39" s="424"/>
      <c r="R39" s="420"/>
    </row>
    <row r="40" spans="2:21" x14ac:dyDescent="0.35">
      <c r="B40" t="s">
        <v>269</v>
      </c>
      <c r="C40" s="224" t="s">
        <v>344</v>
      </c>
      <c r="E40" s="426">
        <f>'Fixed Cost'!D49*C4</f>
        <v>9.6795000000000009</v>
      </c>
      <c r="F40" s="225">
        <f>+'Fixed Cost'!D57*C4</f>
        <v>9.6795000000000009</v>
      </c>
      <c r="G40" s="225">
        <f>+'Fixed Cost'!D65*C4</f>
        <v>19.359000000000002</v>
      </c>
      <c r="H40" s="437">
        <f>SUM(E40:G40)</f>
        <v>38.718000000000004</v>
      </c>
      <c r="J40" s="425">
        <f>+'Fixed Cost'!E49*C4</f>
        <v>20.411999999999999</v>
      </c>
      <c r="K40" s="230">
        <f>+'Fixed Cost'!E65*C4</f>
        <v>20.411999999999999</v>
      </c>
      <c r="L40" s="437">
        <f>SUM(J40:K40)</f>
        <v>40.823999999999998</v>
      </c>
      <c r="N40" s="425">
        <f>+'Fixed Cost'!F11*C4</f>
        <v>20.087999999999997</v>
      </c>
      <c r="O40" s="511"/>
      <c r="P40" s="230">
        <f>+'Fixed Cost'!G11*C4</f>
        <v>2.1059999999999999</v>
      </c>
      <c r="Q40" s="508"/>
      <c r="R40" s="461">
        <f>+P40+L40+H40+N40</f>
        <v>101.73599999999999</v>
      </c>
    </row>
    <row r="41" spans="2:21" s="428" customFormat="1" ht="13" x14ac:dyDescent="0.3">
      <c r="B41" s="428" t="s">
        <v>352</v>
      </c>
      <c r="C41" s="429" t="s">
        <v>345</v>
      </c>
      <c r="E41" s="485">
        <f>(+E40+E34)/E9*1000</f>
        <v>930.28499999999997</v>
      </c>
      <c r="F41" s="447">
        <f>(+F40+F34)/F9*1000</f>
        <v>1860.57</v>
      </c>
      <c r="G41" s="447">
        <f>(+G40+G34)/G9*1000</f>
        <v>2188.9058823529413</v>
      </c>
      <c r="H41" s="486">
        <f>(H34+H40)*1000/H9</f>
        <v>1583.4638297872341</v>
      </c>
      <c r="I41" s="509"/>
      <c r="J41" s="485">
        <f>(+J40+J34)/J9*1000</f>
        <v>1011.3428571428573</v>
      </c>
      <c r="K41" s="447">
        <f>(+K40+K34)/K9*1000</f>
        <v>4719.6000000000004</v>
      </c>
      <c r="L41" s="486">
        <f>(L34+L40)*1000/L9</f>
        <v>1665.7411764705885</v>
      </c>
      <c r="M41" s="509"/>
      <c r="N41" s="546">
        <f>(+N40+N34)/N9*1000</f>
        <v>4195.7999999999993</v>
      </c>
      <c r="O41" s="447"/>
      <c r="P41" s="486">
        <f>(+P40+P34)/P9*1000</f>
        <v>2344.3714285714282</v>
      </c>
      <c r="Q41" s="506"/>
      <c r="R41" s="501">
        <f>(R34+R40)*1000/R9</f>
        <v>1913.5285714285712</v>
      </c>
    </row>
    <row r="42" spans="2:21" x14ac:dyDescent="0.35">
      <c r="E42" s="409"/>
      <c r="H42" s="434"/>
      <c r="J42" s="409"/>
      <c r="L42" s="434"/>
      <c r="N42" s="409"/>
      <c r="O42" s="510"/>
      <c r="P42" s="225"/>
      <c r="Q42" s="424"/>
      <c r="R42" s="420"/>
    </row>
    <row r="43" spans="2:21" s="445" customFormat="1" ht="25.5" customHeight="1" x14ac:dyDescent="0.35">
      <c r="B43" s="445" t="s">
        <v>329</v>
      </c>
      <c r="C43" s="413" t="s">
        <v>344</v>
      </c>
      <c r="E43" s="494">
        <f>+E36-E40</f>
        <v>77.054682970177751</v>
      </c>
      <c r="F43" s="492">
        <f>+F36-F40</f>
        <v>-30.160050022197684</v>
      </c>
      <c r="G43" s="492">
        <f>+G36-G40</f>
        <v>-77.884789347388448</v>
      </c>
      <c r="H43" s="493">
        <f>SUM(E43:G43)</f>
        <v>-30.990156399408377</v>
      </c>
      <c r="J43" s="494">
        <f>+J36-J40</f>
        <v>47.457055338304691</v>
      </c>
      <c r="K43" s="492">
        <f>+K36-K40</f>
        <v>-60.964591247685888</v>
      </c>
      <c r="L43" s="493">
        <f>SUM(I43:K43)</f>
        <v>-13.507535909381197</v>
      </c>
      <c r="N43" s="494">
        <f>+N36-N40</f>
        <v>-67.684655675161324</v>
      </c>
      <c r="O43" s="514"/>
      <c r="P43" s="492">
        <f>+P36-P40</f>
        <v>-63.907954474962828</v>
      </c>
      <c r="Q43" s="504"/>
      <c r="R43" s="505">
        <f>+P43+L43+H43+N43</f>
        <v>-176.09030245891373</v>
      </c>
    </row>
    <row r="44" spans="2:21" s="428" customFormat="1" ht="13" x14ac:dyDescent="0.3">
      <c r="B44" s="428" t="s">
        <v>341</v>
      </c>
      <c r="C44" s="429" t="s">
        <v>345</v>
      </c>
      <c r="E44" s="430">
        <f>+E43/E9*1000</f>
        <v>770.54682970177748</v>
      </c>
      <c r="F44" s="436">
        <f>+F43/F9*1000</f>
        <v>-603.2010004439536</v>
      </c>
      <c r="G44" s="436">
        <f>+G43/G9*1000</f>
        <v>-916.29163938104057</v>
      </c>
      <c r="H44" s="438">
        <f>+H43/H9*1000</f>
        <v>-131.87300595492925</v>
      </c>
      <c r="J44" s="485">
        <f>+J43/J9*1000</f>
        <v>677.95793340435273</v>
      </c>
      <c r="K44" s="447">
        <f>+K43/K9*1000</f>
        <v>-4064.3060831790594</v>
      </c>
      <c r="L44" s="486">
        <f>+L43/L9*1000</f>
        <v>-158.91218716919056</v>
      </c>
      <c r="N44" s="485">
        <f>+N43/N9*1000</f>
        <v>-2256.1551891720437</v>
      </c>
      <c r="O44" s="515"/>
      <c r="P44" s="447">
        <f>+P43/P9*1000</f>
        <v>-912.97077821375467</v>
      </c>
      <c r="Q44" s="506"/>
      <c r="R44" s="501">
        <f>+R43/R9*1000</f>
        <v>-419.2626249021755</v>
      </c>
    </row>
    <row r="45" spans="2:21" ht="15" thickBot="1" x14ac:dyDescent="0.4">
      <c r="B45" t="s">
        <v>251</v>
      </c>
      <c r="C45" s="224" t="s">
        <v>5</v>
      </c>
      <c r="E45" s="477">
        <f>+E44/E16*100</f>
        <v>8.2854497817395423</v>
      </c>
      <c r="F45" s="392">
        <f>+F44/F16*100</f>
        <v>-6.8427375492779943</v>
      </c>
      <c r="G45" s="392">
        <f>+G44/G16*100</f>
        <v>-10.654845460530856</v>
      </c>
      <c r="H45" s="496">
        <f>+H44/H16*100</f>
        <v>-1.4745000047298136</v>
      </c>
      <c r="J45" s="478">
        <f>+J44/J16*100</f>
        <v>7.2898702516597069</v>
      </c>
      <c r="K45" s="497">
        <f>+K44/K16*100</f>
        <v>-47.364014487577897</v>
      </c>
      <c r="L45" s="498">
        <f>+L44/L16*100</f>
        <v>-1.7323683537422259</v>
      </c>
      <c r="N45" s="478">
        <f>+N44/N16*100</f>
        <v>-24.259733216903694</v>
      </c>
      <c r="O45" s="517"/>
      <c r="P45" s="497">
        <f>+P44/P16*100</f>
        <v>-9.8168900883199441</v>
      </c>
      <c r="Q45" s="424"/>
      <c r="R45" s="462">
        <f>+R44/R16*100</f>
        <v>-4.6200283739126844</v>
      </c>
    </row>
    <row r="46" spans="2:21" ht="15" thickTop="1" x14ac:dyDescent="0.35">
      <c r="E46" s="225"/>
      <c r="F46" s="225"/>
      <c r="G46" s="225"/>
      <c r="H46" s="225"/>
      <c r="J46" s="225"/>
      <c r="K46" s="225"/>
      <c r="L46" s="225"/>
      <c r="N46" s="230"/>
      <c r="P46" s="230"/>
      <c r="R46" s="230"/>
    </row>
    <row r="47" spans="2:21" x14ac:dyDescent="0.35">
      <c r="B47" t="s">
        <v>391</v>
      </c>
      <c r="C47" s="563" t="s">
        <v>345</v>
      </c>
      <c r="E47" s="564">
        <f>E19+E41</f>
        <v>8529.453170298224</v>
      </c>
      <c r="F47" s="565">
        <f>F19+F41</f>
        <v>9353.601000443954</v>
      </c>
      <c r="G47" s="565">
        <f>G19+G41</f>
        <v>9363.5857570280987</v>
      </c>
      <c r="H47" s="566">
        <f>H19+H41</f>
        <v>9006.5113038272702</v>
      </c>
      <c r="J47" s="564">
        <f>J19+J41</f>
        <v>8622.0420665956481</v>
      </c>
      <c r="K47" s="565">
        <f>K19+K41</f>
        <v>12483.306083179061</v>
      </c>
      <c r="L47" s="566">
        <f>L19+L41</f>
        <v>9303.4415989338959</v>
      </c>
      <c r="N47" s="564">
        <f>N19+N41</f>
        <v>11647.955189172044</v>
      </c>
      <c r="O47" s="346"/>
      <c r="P47" s="566">
        <f>P19+P41</f>
        <v>10212.970778213754</v>
      </c>
      <c r="R47" s="567">
        <f>R19+R41</f>
        <v>9456.3554820450317</v>
      </c>
    </row>
    <row r="48" spans="2:21" s="473" customFormat="1" ht="15" thickBot="1" x14ac:dyDescent="0.4">
      <c r="B48" s="473" t="s">
        <v>392</v>
      </c>
      <c r="C48" s="474" t="s">
        <v>393</v>
      </c>
      <c r="E48" s="568">
        <f>(E34+E40)/(E16-E19)*1000</f>
        <v>54.695883729028978</v>
      </c>
      <c r="F48" s="569">
        <f>(F34+F40)/(F16-F19)*1000</f>
        <v>70.360521258051634</v>
      </c>
      <c r="G48" s="569">
        <f>(G34+G40)/(G16-G19)*1000</f>
        <v>130.55854355167773</v>
      </c>
      <c r="H48" s="570">
        <f>(H34+H40)/(H16-H19)*1000</f>
        <v>244.72699363926623</v>
      </c>
      <c r="I48" s="571"/>
      <c r="J48" s="568">
        <f>(J34+J40)/(J16-J19)*1000</f>
        <v>41.907279269707765</v>
      </c>
      <c r="K48" s="569">
        <f>(K34+K40)/(K16-K19)*1000</f>
        <v>86.620001131747259</v>
      </c>
      <c r="L48" s="570">
        <f>(L34+L40)/(L16-L19)*1000</f>
        <v>92.214674768481558</v>
      </c>
      <c r="M48" s="571"/>
      <c r="N48" s="568">
        <f>(N34+N40)/(N16-N19)*1000</f>
        <v>68.1193568109219</v>
      </c>
      <c r="O48" s="569"/>
      <c r="P48" s="570">
        <f>(P34+P40)/(P16-P19)*1000</f>
        <v>114.64714645685937</v>
      </c>
      <c r="Q48" s="572"/>
      <c r="R48" s="573">
        <f>(R34+R40)/(R16-R19)*1000</f>
        <v>524.57402491202311</v>
      </c>
      <c r="T48" s="577"/>
    </row>
    <row r="49" spans="8:16" ht="15" thickTop="1" x14ac:dyDescent="0.35">
      <c r="P49" s="579">
        <f>P47*840000</f>
        <v>8578895453.6995535</v>
      </c>
    </row>
    <row r="50" spans="8:16" x14ac:dyDescent="0.35">
      <c r="H50" s="376">
        <f>+'P&amp;L $ Monthly'!H50+1</f>
        <v>10</v>
      </c>
      <c r="I50" s="377" t="s">
        <v>388</v>
      </c>
      <c r="P50" s="579">
        <f>P49/3</f>
        <v>2859631817.8998513</v>
      </c>
    </row>
  </sheetData>
  <mergeCells count="3">
    <mergeCell ref="B2:R2"/>
    <mergeCell ref="E4:H4"/>
    <mergeCell ref="J4:L4"/>
  </mergeCells>
  <pageMargins left="0.7" right="0.7" top="0.75" bottom="0.75" header="0.3" footer="0.3"/>
  <pageSetup scale="66" orientation="landscape" horizontalDpi="4294967295" verticalDpi="4294967295" r:id="rId1"/>
  <headerFooter>
    <oddFooter>&amp;C&amp;1#&amp;"Calibri"&amp;10&amp;K737373EZDK Business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U50"/>
  <sheetViews>
    <sheetView showGridLines="0" topLeftCell="A19" zoomScaleNormal="100" workbookViewId="0">
      <selection activeCell="E42" sqref="E42:R42"/>
    </sheetView>
  </sheetViews>
  <sheetFormatPr defaultRowHeight="14.5" x14ac:dyDescent="0.35"/>
  <cols>
    <col min="2" max="2" width="29.7265625" bestFit="1" customWidth="1"/>
    <col min="3" max="3" width="9.1796875" style="224"/>
    <col min="5" max="5" width="10.54296875" style="224" customWidth="1"/>
    <col min="6" max="6" width="8.7265625" style="224" customWidth="1"/>
    <col min="7" max="7" width="9" style="224" customWidth="1"/>
    <col min="8" max="8" width="10" style="224" bestFit="1" customWidth="1"/>
    <col min="9" max="9" width="6.453125" customWidth="1"/>
    <col min="10" max="12" width="9.1796875" style="224"/>
    <col min="13" max="13" width="6.54296875" customWidth="1"/>
    <col min="14" max="14" width="9.1796875" style="224"/>
    <col min="15" max="15" width="2.453125" style="224" customWidth="1"/>
    <col min="16" max="16" width="9.1796875" style="224"/>
    <col min="17" max="17" width="3.453125" style="224" customWidth="1"/>
    <col min="18" max="18" width="9.1796875" style="224"/>
  </cols>
  <sheetData>
    <row r="1" spans="2:18" ht="15" thickBot="1" x14ac:dyDescent="0.4"/>
    <row r="2" spans="2:18" ht="19" thickBot="1" x14ac:dyDescent="0.5">
      <c r="B2" s="812" t="s">
        <v>346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4"/>
    </row>
    <row r="4" spans="2:18" s="412" customFormat="1" ht="15.5" x14ac:dyDescent="0.35">
      <c r="C4" s="413"/>
      <c r="E4" s="809" t="s">
        <v>177</v>
      </c>
      <c r="F4" s="810"/>
      <c r="G4" s="810"/>
      <c r="H4" s="811"/>
      <c r="J4" s="809" t="s">
        <v>198</v>
      </c>
      <c r="K4" s="810"/>
      <c r="L4" s="811"/>
      <c r="N4" s="415" t="s">
        <v>179</v>
      </c>
      <c r="O4" s="416"/>
      <c r="P4" s="416" t="s">
        <v>199</v>
      </c>
      <c r="Q4" s="422"/>
      <c r="R4" s="418" t="s">
        <v>300</v>
      </c>
    </row>
    <row r="5" spans="2:18" s="364" customFormat="1" x14ac:dyDescent="0.35">
      <c r="B5" s="364" t="s">
        <v>230</v>
      </c>
      <c r="C5" s="384" t="s">
        <v>178</v>
      </c>
      <c r="E5" s="414" t="s">
        <v>285</v>
      </c>
      <c r="F5" s="384" t="s">
        <v>286</v>
      </c>
      <c r="G5" s="384" t="s">
        <v>287</v>
      </c>
      <c r="H5" s="435" t="s">
        <v>334</v>
      </c>
      <c r="J5" s="414" t="s">
        <v>285</v>
      </c>
      <c r="K5" s="384" t="s">
        <v>287</v>
      </c>
      <c r="L5" s="435" t="s">
        <v>334</v>
      </c>
      <c r="N5" s="530" t="s">
        <v>285</v>
      </c>
      <c r="O5" s="384"/>
      <c r="P5" s="435" t="s">
        <v>285</v>
      </c>
      <c r="Q5" s="423"/>
      <c r="R5" s="419"/>
    </row>
    <row r="6" spans="2:18" x14ac:dyDescent="0.35">
      <c r="E6" s="409"/>
      <c r="H6" s="434"/>
      <c r="J6" s="409"/>
      <c r="L6" s="434"/>
      <c r="N6" s="519"/>
      <c r="P6" s="434"/>
      <c r="Q6" s="424"/>
      <c r="R6" s="420"/>
    </row>
    <row r="7" spans="2:18" x14ac:dyDescent="0.35">
      <c r="B7" t="s">
        <v>101</v>
      </c>
      <c r="C7" s="224" t="s">
        <v>289</v>
      </c>
      <c r="E7" s="495">
        <f>+'Market Share'!E6*12</f>
        <v>1200</v>
      </c>
      <c r="F7" s="381">
        <f>+'Market Share'!F6*12</f>
        <v>480</v>
      </c>
      <c r="G7" s="381">
        <f>+'Market Share'!G6*12</f>
        <v>540</v>
      </c>
      <c r="H7" s="450">
        <f>SUM(E7:G7)</f>
        <v>2220</v>
      </c>
      <c r="I7" s="224"/>
      <c r="J7" s="409">
        <f>+'Market Share'!E7*12</f>
        <v>840</v>
      </c>
      <c r="K7" s="224">
        <f>+'Market Share'!G7*12</f>
        <v>90</v>
      </c>
      <c r="L7" s="450">
        <f>SUM(J7:K7)</f>
        <v>930</v>
      </c>
      <c r="N7" s="519">
        <f>+'Market Share'!E8*12</f>
        <v>360</v>
      </c>
      <c r="P7" s="434">
        <f>+'Market Share'!E9*12</f>
        <v>840</v>
      </c>
      <c r="Q7" s="424"/>
      <c r="R7" s="421">
        <f>+P7+L7+H7+N7</f>
        <v>4350</v>
      </c>
    </row>
    <row r="8" spans="2:18" x14ac:dyDescent="0.35">
      <c r="B8" t="s">
        <v>100</v>
      </c>
      <c r="C8" s="224" t="s">
        <v>289</v>
      </c>
      <c r="E8" s="410">
        <f>+'Market Share'!E19*12</f>
        <v>0</v>
      </c>
      <c r="F8" s="381">
        <f>+'Market Share'!F19*12</f>
        <v>120</v>
      </c>
      <c r="G8" s="381">
        <f>+'Market Share'!G19*12</f>
        <v>480</v>
      </c>
      <c r="H8" s="450">
        <f>SUM(E8:G8)</f>
        <v>600</v>
      </c>
      <c r="I8" s="224"/>
      <c r="J8" s="410">
        <f>+'Market Share'!E20</f>
        <v>0</v>
      </c>
      <c r="K8" s="224">
        <f>+'Market Share'!G20*12</f>
        <v>90</v>
      </c>
      <c r="L8" s="450">
        <f>SUM(J8:K8)</f>
        <v>90</v>
      </c>
      <c r="N8" s="518">
        <v>0</v>
      </c>
      <c r="P8" s="452">
        <v>0</v>
      </c>
      <c r="Q8" s="424"/>
      <c r="R8" s="421">
        <f>+P8+L8+H8+N8</f>
        <v>690</v>
      </c>
    </row>
    <row r="9" spans="2:18" x14ac:dyDescent="0.35">
      <c r="B9" t="s">
        <v>288</v>
      </c>
      <c r="C9" s="224" t="s">
        <v>289</v>
      </c>
      <c r="E9" s="495">
        <f>SUM(E7:E8)</f>
        <v>1200</v>
      </c>
      <c r="F9" s="381">
        <f>SUM(F7:F8)</f>
        <v>600</v>
      </c>
      <c r="G9" s="381">
        <f>SUM(G7:G8)</f>
        <v>1020</v>
      </c>
      <c r="H9" s="450">
        <f>SUM(H7:H8)</f>
        <v>2820</v>
      </c>
      <c r="I9" s="224"/>
      <c r="J9" s="409">
        <f>SUM(J7:J8)</f>
        <v>840</v>
      </c>
      <c r="K9" s="224">
        <f>SUM(K7:K8)</f>
        <v>180</v>
      </c>
      <c r="L9" s="450">
        <f>SUM(L7:L8)</f>
        <v>1020</v>
      </c>
      <c r="N9" s="519">
        <f>SUM(N7:N8)</f>
        <v>360</v>
      </c>
      <c r="P9" s="434">
        <f>SUM(P7:P8)</f>
        <v>840</v>
      </c>
      <c r="Q9" s="424"/>
      <c r="R9" s="421">
        <f>+P9+L9+H9+N9</f>
        <v>5040</v>
      </c>
    </row>
    <row r="10" spans="2:18" x14ac:dyDescent="0.35">
      <c r="E10" s="409"/>
      <c r="H10" s="434"/>
      <c r="J10" s="409"/>
      <c r="L10" s="434"/>
      <c r="N10" s="519"/>
      <c r="P10" s="434"/>
      <c r="Q10" s="424"/>
      <c r="R10" s="420"/>
    </row>
    <row r="11" spans="2:18" x14ac:dyDescent="0.35">
      <c r="B11" t="s">
        <v>319</v>
      </c>
      <c r="C11" s="224" t="s">
        <v>333</v>
      </c>
      <c r="E11" s="495">
        <f>+E12*E7/1000</f>
        <v>688.88888888888903</v>
      </c>
      <c r="F11" s="381">
        <f>F12*F7/1000</f>
        <v>268.88888888888886</v>
      </c>
      <c r="G11" s="381">
        <f>G12*G7/1000</f>
        <v>296.66666666666669</v>
      </c>
      <c r="H11" s="450">
        <f t="shared" ref="H11:H18" si="0">SUM(E11:G11)</f>
        <v>1254.4444444444446</v>
      </c>
      <c r="J11" s="425">
        <f>J12*J7/1000</f>
        <v>482.22222222222223</v>
      </c>
      <c r="K11" s="230">
        <f>+K12*K7/1000</f>
        <v>49.44444444444445</v>
      </c>
      <c r="L11" s="437">
        <f>SUM(J11:K11)</f>
        <v>531.66666666666663</v>
      </c>
      <c r="M11" s="232"/>
      <c r="N11" s="527">
        <f>N12*N7/1000</f>
        <v>206.66666666666669</v>
      </c>
      <c r="O11" s="230"/>
      <c r="P11" s="437">
        <f>+P12*P9/1000</f>
        <v>482.22222222222223</v>
      </c>
      <c r="Q11" s="424"/>
      <c r="R11" s="421">
        <f>+P11+L11+H11+N11</f>
        <v>2475</v>
      </c>
    </row>
    <row r="12" spans="2:18" s="428" customFormat="1" ht="13" x14ac:dyDescent="0.3">
      <c r="B12" s="428" t="s">
        <v>320</v>
      </c>
      <c r="C12" s="429" t="s">
        <v>186</v>
      </c>
      <c r="E12" s="430">
        <f>+'Market Share'!E29/'Market Share'!D27</f>
        <v>574.07407407407413</v>
      </c>
      <c r="F12" s="436">
        <f>+'Market Share'!F29/'Market Share'!D27</f>
        <v>560.18518518518522</v>
      </c>
      <c r="G12" s="436">
        <f>+'Market Share'!G29/'Market Share'!D27</f>
        <v>549.38271604938279</v>
      </c>
      <c r="H12" s="438">
        <f>+H11/H7*1000</f>
        <v>565.06506506506514</v>
      </c>
      <c r="J12" s="430">
        <f>+'Market Share'!E30/'Market Share'!D27</f>
        <v>574.07407407407413</v>
      </c>
      <c r="K12" s="447">
        <f>+'Market Share'!G30/'Market Share'!D27</f>
        <v>549.38271604938279</v>
      </c>
      <c r="L12" s="438">
        <f>+L11/L7*1000</f>
        <v>571.68458781362006</v>
      </c>
      <c r="N12" s="521">
        <f>+'Market Share'!E31/'Market Share'!D27</f>
        <v>574.07407407407413</v>
      </c>
      <c r="O12" s="429"/>
      <c r="P12" s="438">
        <f>+'Market Share'!E32/'Market Share'!D27</f>
        <v>574.07407407407413</v>
      </c>
      <c r="Q12" s="432"/>
      <c r="R12" s="460">
        <f>+R11/R7*1000</f>
        <v>568.9655172413793</v>
      </c>
    </row>
    <row r="13" spans="2:18" x14ac:dyDescent="0.35">
      <c r="B13" t="s">
        <v>321</v>
      </c>
      <c r="C13" s="224" t="s">
        <v>333</v>
      </c>
      <c r="E13" s="410">
        <f>E14*E8/1000</f>
        <v>0</v>
      </c>
      <c r="F13" s="224">
        <f>F14*F8/1000</f>
        <v>57.6</v>
      </c>
      <c r="G13" s="225">
        <f>+G14*G8/1000</f>
        <v>244.8</v>
      </c>
      <c r="H13" s="439">
        <f t="shared" si="0"/>
        <v>302.40000000000003</v>
      </c>
      <c r="J13" s="410">
        <v>0</v>
      </c>
      <c r="K13" s="225">
        <f>+K14*K8/1000</f>
        <v>45.9</v>
      </c>
      <c r="L13" s="452">
        <f>+SUM(J13:K13)</f>
        <v>45.9</v>
      </c>
      <c r="N13" s="518">
        <v>0</v>
      </c>
      <c r="P13" s="452">
        <v>0</v>
      </c>
      <c r="Q13" s="424"/>
      <c r="R13" s="421">
        <f>+P13+L13+H13+N13</f>
        <v>348.3</v>
      </c>
    </row>
    <row r="14" spans="2:18" s="428" customFormat="1" x14ac:dyDescent="0.3">
      <c r="B14" s="428" t="s">
        <v>320</v>
      </c>
      <c r="C14" s="429" t="s">
        <v>186</v>
      </c>
      <c r="E14" s="430">
        <f>+'Market Share'!E34</f>
        <v>490</v>
      </c>
      <c r="F14" s="447">
        <f>+'Market Share'!F34</f>
        <v>480</v>
      </c>
      <c r="G14" s="447">
        <f>+'Market Share'!G34</f>
        <v>510</v>
      </c>
      <c r="H14" s="438">
        <f>+H13/H8*1000</f>
        <v>504</v>
      </c>
      <c r="J14" s="453">
        <v>0</v>
      </c>
      <c r="K14" s="447">
        <f>+'Market Share'!G35</f>
        <v>510</v>
      </c>
      <c r="L14" s="455">
        <v>0</v>
      </c>
      <c r="N14" s="518">
        <v>0</v>
      </c>
      <c r="O14" s="429"/>
      <c r="P14" s="455">
        <v>0</v>
      </c>
      <c r="Q14" s="432"/>
      <c r="R14" s="460">
        <f>+R13/R8*1000</f>
        <v>504.78260869565219</v>
      </c>
    </row>
    <row r="15" spans="2:18" s="364" customFormat="1" x14ac:dyDescent="0.35">
      <c r="B15" s="364" t="s">
        <v>322</v>
      </c>
      <c r="C15" s="384" t="s">
        <v>333</v>
      </c>
      <c r="E15" s="499">
        <f>+E13+E11</f>
        <v>688.88888888888903</v>
      </c>
      <c r="F15" s="500">
        <f>+F13+F11</f>
        <v>326.48888888888888</v>
      </c>
      <c r="G15" s="500">
        <f>+G13+G11</f>
        <v>541.4666666666667</v>
      </c>
      <c r="H15" s="490">
        <f t="shared" si="0"/>
        <v>1556.8444444444447</v>
      </c>
      <c r="J15" s="479">
        <f>+J13+J11</f>
        <v>482.22222222222223</v>
      </c>
      <c r="K15" s="480">
        <f>+K13+K11</f>
        <v>95.344444444444449</v>
      </c>
      <c r="L15" s="481">
        <f>SUM(J15:K15)</f>
        <v>577.56666666666672</v>
      </c>
      <c r="N15" s="522">
        <f>+N13+N11</f>
        <v>206.66666666666669</v>
      </c>
      <c r="O15" s="384"/>
      <c r="P15" s="481">
        <f>+P13+P11</f>
        <v>482.22222222222223</v>
      </c>
      <c r="Q15" s="423"/>
      <c r="R15" s="482">
        <f>+P15+L15+H15+N15</f>
        <v>2823.3</v>
      </c>
    </row>
    <row r="16" spans="2:18" s="428" customFormat="1" ht="13" x14ac:dyDescent="0.3">
      <c r="B16" s="428" t="s">
        <v>323</v>
      </c>
      <c r="C16" s="429" t="s">
        <v>186</v>
      </c>
      <c r="E16" s="430">
        <f>+E15*1000/(E9)</f>
        <v>574.07407407407413</v>
      </c>
      <c r="F16" s="436">
        <f>F15/F9*1000</f>
        <v>544.14814814814815</v>
      </c>
      <c r="G16" s="436">
        <f>+G15/G9*1000</f>
        <v>530.84967320261444</v>
      </c>
      <c r="H16" s="438">
        <f>+H15/H9*1000</f>
        <v>552.072498029945</v>
      </c>
      <c r="J16" s="430">
        <f>+J15*1000/(J9)</f>
        <v>574.07407407407413</v>
      </c>
      <c r="K16" s="436">
        <f>+K15*1000/(K9)</f>
        <v>529.69135802469145</v>
      </c>
      <c r="L16" s="438">
        <f>+L15/L9*1000</f>
        <v>566.24183006535952</v>
      </c>
      <c r="N16" s="521">
        <f>+N15*1000/(N9)</f>
        <v>574.07407407407413</v>
      </c>
      <c r="O16" s="429"/>
      <c r="P16" s="438">
        <f>P15/P9*1000</f>
        <v>574.07407407407402</v>
      </c>
      <c r="Q16" s="432"/>
      <c r="R16" s="460">
        <f>+R15/R9*1000</f>
        <v>560.17857142857144</v>
      </c>
    </row>
    <row r="17" spans="2:18" x14ac:dyDescent="0.35">
      <c r="E17" s="409"/>
      <c r="H17" s="434"/>
      <c r="J17" s="409"/>
      <c r="L17" s="434"/>
      <c r="N17" s="519"/>
      <c r="P17" s="434"/>
      <c r="Q17" s="424"/>
      <c r="R17" s="420"/>
    </row>
    <row r="18" spans="2:18" s="364" customFormat="1" x14ac:dyDescent="0.35">
      <c r="B18" s="364" t="s">
        <v>324</v>
      </c>
      <c r="C18" s="384" t="s">
        <v>333</v>
      </c>
      <c r="E18" s="483">
        <f>(+E19*E9)/1000</f>
        <v>562.90134594801657</v>
      </c>
      <c r="F18" s="480">
        <f>+F19*F9/1000</f>
        <v>277.51966668310939</v>
      </c>
      <c r="G18" s="480">
        <f>+G19*G9/1000</f>
        <v>451.73910322028769</v>
      </c>
      <c r="H18" s="481">
        <f t="shared" si="0"/>
        <v>1292.1601158514136</v>
      </c>
      <c r="J18" s="479">
        <f>J19*J9/1000</f>
        <v>394.62884789755213</v>
      </c>
      <c r="K18" s="480">
        <f>K19*K9/1000</f>
        <v>86.26340092421178</v>
      </c>
      <c r="L18" s="481">
        <f>SUM(J18:K18)</f>
        <v>480.89224882176393</v>
      </c>
      <c r="N18" s="523">
        <f>N19*N9/1000</f>
        <v>165.60344864826766</v>
      </c>
      <c r="O18" s="384"/>
      <c r="P18" s="529">
        <f>P19*P9/1000</f>
        <v>408.00144775923172</v>
      </c>
      <c r="Q18" s="423"/>
      <c r="R18" s="482">
        <f>+P18+L18+H18+N18</f>
        <v>2346.657261080677</v>
      </c>
    </row>
    <row r="19" spans="2:18" s="428" customFormat="1" ht="13" x14ac:dyDescent="0.3">
      <c r="B19" s="428" t="s">
        <v>325</v>
      </c>
      <c r="C19" s="429" t="s">
        <v>186</v>
      </c>
      <c r="E19" s="430">
        <f>+'EZDK Rebar'!E205</f>
        <v>469.08445495668047</v>
      </c>
      <c r="F19" s="436">
        <f>+'EZDK Wire'!E86/'EZDK Wire'!E6</f>
        <v>462.53277780518232</v>
      </c>
      <c r="G19" s="436">
        <f>+'EZDK Flat'!E205</f>
        <v>442.88147374538011</v>
      </c>
      <c r="H19" s="438">
        <f>+H18/H9*1000</f>
        <v>458.21280703950833</v>
      </c>
      <c r="J19" s="430">
        <f>+'EFS Rebar'!E205</f>
        <v>469.79624749708586</v>
      </c>
      <c r="K19" s="436">
        <f>'EFS Flat'!E205</f>
        <v>479.24111624562096</v>
      </c>
      <c r="L19" s="438">
        <f>+L18/L9*1000</f>
        <v>471.46298904094505</v>
      </c>
      <c r="N19" s="521">
        <f>+'ERM Rolling'!E86/'ERM Rolling'!E6</f>
        <v>460.00957957852131</v>
      </c>
      <c r="O19" s="429"/>
      <c r="P19" s="486">
        <f>'ESR Rebar'!E161</f>
        <v>485.71600923718063</v>
      </c>
      <c r="Q19" s="432"/>
      <c r="R19" s="433">
        <f>+R18/R9*1000</f>
        <v>465.60659942076927</v>
      </c>
    </row>
    <row r="20" spans="2:18" x14ac:dyDescent="0.35">
      <c r="E20" s="409"/>
      <c r="H20" s="434"/>
      <c r="J20" s="409"/>
      <c r="L20" s="434"/>
      <c r="N20" s="519"/>
      <c r="P20" s="434"/>
      <c r="Q20" s="424"/>
      <c r="R20" s="420"/>
    </row>
    <row r="21" spans="2:18" x14ac:dyDescent="0.35">
      <c r="B21" t="s">
        <v>326</v>
      </c>
      <c r="C21" s="224" t="s">
        <v>186</v>
      </c>
      <c r="E21" s="410">
        <v>0</v>
      </c>
      <c r="F21" s="224">
        <f>12*0.2</f>
        <v>2.4000000000000004</v>
      </c>
      <c r="G21" s="224">
        <f>12*0.8</f>
        <v>9.6000000000000014</v>
      </c>
      <c r="H21" s="456">
        <f>SUM(E21:G21)</f>
        <v>12.000000000000002</v>
      </c>
      <c r="J21" s="410">
        <v>0</v>
      </c>
      <c r="K21" s="224">
        <f>12*0.15</f>
        <v>1.7999999999999998</v>
      </c>
      <c r="L21" s="434">
        <f>+K21</f>
        <v>1.7999999999999998</v>
      </c>
      <c r="N21" s="518">
        <v>0</v>
      </c>
      <c r="P21" s="452">
        <v>0</v>
      </c>
      <c r="Q21" s="424"/>
      <c r="R21" s="459">
        <f>+P21+L21+H21+N21</f>
        <v>13.8</v>
      </c>
    </row>
    <row r="22" spans="2:18" x14ac:dyDescent="0.35">
      <c r="E22" s="409"/>
      <c r="H22" s="434"/>
      <c r="J22" s="409"/>
      <c r="L22" s="434"/>
      <c r="N22" s="519"/>
      <c r="P22" s="434"/>
      <c r="Q22" s="424"/>
      <c r="R22" s="420"/>
    </row>
    <row r="23" spans="2:18" s="445" customFormat="1" ht="31.5" customHeight="1" x14ac:dyDescent="0.35">
      <c r="B23" s="445" t="s">
        <v>328</v>
      </c>
      <c r="C23" s="413" t="s">
        <v>333</v>
      </c>
      <c r="E23" s="440">
        <f>E15-E18-E21</f>
        <v>125.98754294087246</v>
      </c>
      <c r="F23" s="446">
        <f>F15-F18-F21</f>
        <v>46.569222205779489</v>
      </c>
      <c r="G23" s="446">
        <f>G15-G18-G21</f>
        <v>80.127563446379014</v>
      </c>
      <c r="H23" s="441">
        <f>SUM(E23:G23)</f>
        <v>252.68432859303095</v>
      </c>
      <c r="J23" s="444">
        <f>J15-J18-J21</f>
        <v>87.593374324670094</v>
      </c>
      <c r="K23" s="446">
        <f>K15-K18-K21</f>
        <v>7.2810435202326689</v>
      </c>
      <c r="L23" s="441">
        <f>SUM(I23:K23)</f>
        <v>94.874417844902766</v>
      </c>
      <c r="N23" s="524">
        <f>N15-N18-N21</f>
        <v>41.063218018399027</v>
      </c>
      <c r="O23" s="413"/>
      <c r="P23" s="441">
        <f>P15-P18-P21</f>
        <v>74.220774462990505</v>
      </c>
      <c r="Q23" s="422"/>
      <c r="R23" s="458">
        <f>+P23+L23+H23+N23</f>
        <v>462.84273891932327</v>
      </c>
    </row>
    <row r="24" spans="2:18" s="428" customFormat="1" ht="13" x14ac:dyDescent="0.3">
      <c r="B24" s="428" t="s">
        <v>327</v>
      </c>
      <c r="C24" s="429" t="s">
        <v>186</v>
      </c>
      <c r="E24" s="430">
        <f>E23*1000/E9</f>
        <v>104.98961911739372</v>
      </c>
      <c r="F24" s="436">
        <f>F23*1000/F9</f>
        <v>77.615370342965804</v>
      </c>
      <c r="G24" s="436">
        <f>G23*1000/G9</f>
        <v>78.556434751351986</v>
      </c>
      <c r="H24" s="438">
        <f>+H23/H9*1000</f>
        <v>89.604371841500338</v>
      </c>
      <c r="J24" s="430">
        <f>J23*1000/J9</f>
        <v>104.2778265769882</v>
      </c>
      <c r="K24" s="436">
        <f>K23*1000/K9</f>
        <v>40.450241779070382</v>
      </c>
      <c r="L24" s="438">
        <f>+L23/L9*1000</f>
        <v>93.014135142061548</v>
      </c>
      <c r="N24" s="521">
        <f>N23*1000/N9</f>
        <v>114.06449449555285</v>
      </c>
      <c r="O24" s="429"/>
      <c r="P24" s="438">
        <f>P23*1000/P9</f>
        <v>88.358064836893462</v>
      </c>
      <c r="Q24" s="432"/>
      <c r="R24" s="460">
        <f>+R23/R9*1000</f>
        <v>91.833876769707004</v>
      </c>
    </row>
    <row r="25" spans="2:18" x14ac:dyDescent="0.35">
      <c r="B25" t="s">
        <v>251</v>
      </c>
      <c r="C25" s="224" t="s">
        <v>5</v>
      </c>
      <c r="E25" s="470">
        <f>E24/E16*100</f>
        <v>18.288514297868581</v>
      </c>
      <c r="F25" s="471">
        <f>F24/F16*100</f>
        <v>14.263646877620994</v>
      </c>
      <c r="G25" s="471">
        <f>G24/G16*100</f>
        <v>14.798244911298761</v>
      </c>
      <c r="H25" s="472">
        <f>H24/H16*100</f>
        <v>16.230544387059851</v>
      </c>
      <c r="I25" s="473"/>
      <c r="J25" s="470">
        <f>J24/J16*100</f>
        <v>18.16452462953988</v>
      </c>
      <c r="K25" s="471">
        <f>K24/K16*100</f>
        <v>7.6365681950931128</v>
      </c>
      <c r="L25" s="472">
        <f>L24/L16*100</f>
        <v>16.426574336856252</v>
      </c>
      <c r="M25" s="473"/>
      <c r="N25" s="525">
        <f>N24/N16*100</f>
        <v>19.869299041160819</v>
      </c>
      <c r="O25" s="474"/>
      <c r="P25" s="472">
        <f>P24/P16*100</f>
        <v>15.391404842555637</v>
      </c>
      <c r="Q25" s="475"/>
      <c r="R25" s="476">
        <f>R24/R16*100</f>
        <v>16.393678989810624</v>
      </c>
    </row>
    <row r="26" spans="2:18" x14ac:dyDescent="0.35">
      <c r="E26" s="409"/>
      <c r="H26" s="434"/>
      <c r="J26" s="409"/>
      <c r="L26" s="434"/>
      <c r="N26" s="519"/>
      <c r="P26" s="434"/>
      <c r="Q26" s="424"/>
      <c r="R26" s="420"/>
    </row>
    <row r="27" spans="2:18" x14ac:dyDescent="0.35">
      <c r="B27" t="s">
        <v>340</v>
      </c>
      <c r="E27" s="409"/>
      <c r="H27" s="434"/>
      <c r="J27" s="409"/>
      <c r="L27" s="434"/>
      <c r="N27" s="519"/>
      <c r="P27" s="434"/>
      <c r="Q27" s="424"/>
      <c r="R27" s="420"/>
    </row>
    <row r="28" spans="2:18" x14ac:dyDescent="0.35">
      <c r="B28" t="s">
        <v>20</v>
      </c>
      <c r="C28" s="224" t="s">
        <v>333</v>
      </c>
      <c r="E28" s="409"/>
      <c r="H28" s="434"/>
      <c r="J28" s="409"/>
      <c r="L28" s="434"/>
      <c r="N28" s="519">
        <f>12*0.17</f>
        <v>2.04</v>
      </c>
      <c r="P28" s="434"/>
      <c r="Q28" s="424"/>
      <c r="R28" s="420">
        <f>+N28</f>
        <v>2.04</v>
      </c>
    </row>
    <row r="29" spans="2:18" x14ac:dyDescent="0.35">
      <c r="B29" t="s">
        <v>310</v>
      </c>
      <c r="C29" s="224" t="s">
        <v>333</v>
      </c>
      <c r="E29" s="409"/>
      <c r="H29" s="434"/>
      <c r="J29" s="409"/>
      <c r="L29" s="434"/>
      <c r="N29" s="519"/>
      <c r="P29" s="434"/>
      <c r="Q29" s="424"/>
      <c r="R29" s="420"/>
    </row>
    <row r="30" spans="2:18" x14ac:dyDescent="0.35">
      <c r="E30" s="409"/>
      <c r="H30" s="434"/>
      <c r="J30" s="409"/>
      <c r="L30" s="434"/>
      <c r="N30" s="519"/>
      <c r="P30" s="434"/>
      <c r="Q30" s="424"/>
      <c r="R30" s="420"/>
    </row>
    <row r="31" spans="2:18" x14ac:dyDescent="0.35">
      <c r="B31" t="s">
        <v>266</v>
      </c>
      <c r="C31" s="224" t="s">
        <v>333</v>
      </c>
      <c r="E31" s="426">
        <f>+'Fixed Cost'!D46*12</f>
        <v>29.79</v>
      </c>
      <c r="F31" s="225">
        <f>+'Fixed Cost'!D54*12</f>
        <v>29.79</v>
      </c>
      <c r="G31" s="225">
        <f>+'Fixed Cost'!D62*12</f>
        <v>59.58</v>
      </c>
      <c r="H31" s="439">
        <f>SUM(E31:G31)</f>
        <v>119.16</v>
      </c>
      <c r="J31" s="409">
        <f>+'Fixed Cost'!E46*12</f>
        <v>21.240000000000002</v>
      </c>
      <c r="K31" s="224">
        <f>+'Fixed Cost'!E62*12</f>
        <v>21.240000000000002</v>
      </c>
      <c r="L31" s="434">
        <f>SUM(I31:K31)</f>
        <v>42.480000000000004</v>
      </c>
      <c r="N31" s="519">
        <f>+'Fixed Cost'!F7*12</f>
        <v>14.04</v>
      </c>
      <c r="P31" s="434">
        <f>+'Fixed Cost'!G46*12</f>
        <v>29.400000000000002</v>
      </c>
      <c r="Q31" s="424"/>
      <c r="R31" s="421">
        <f>+P31+L31+H31+N31</f>
        <v>205.08</v>
      </c>
    </row>
    <row r="32" spans="2:18" x14ac:dyDescent="0.35">
      <c r="B32" t="s">
        <v>267</v>
      </c>
      <c r="C32" s="224" t="s">
        <v>333</v>
      </c>
      <c r="E32" s="426">
        <f>+'Fixed Cost'!D47*12</f>
        <v>10.98</v>
      </c>
      <c r="F32" s="225">
        <f>+'Fixed Cost'!D55*12</f>
        <v>10.98</v>
      </c>
      <c r="G32" s="225">
        <f>+'Fixed Cost'!D63*12</f>
        <v>21.96</v>
      </c>
      <c r="H32" s="439">
        <f>SUM(E32:G32)</f>
        <v>43.92</v>
      </c>
      <c r="J32" s="409">
        <f>+'Fixed Cost'!E47*12</f>
        <v>1.56</v>
      </c>
      <c r="K32" s="224">
        <f>+'Fixed Cost'!E63*12</f>
        <v>1.56</v>
      </c>
      <c r="L32" s="434">
        <f>SUM(I32:K32)</f>
        <v>3.12</v>
      </c>
      <c r="N32" s="519">
        <f>+'Fixed Cost'!F8*12</f>
        <v>10.08</v>
      </c>
      <c r="P32" s="434">
        <f>+'Fixed Cost'!G47*12</f>
        <v>28.56</v>
      </c>
      <c r="Q32" s="424"/>
      <c r="R32" s="421">
        <f>+P32+L32+H32+N32</f>
        <v>85.679999999999993</v>
      </c>
    </row>
    <row r="33" spans="2:21" ht="12.75" customHeight="1" x14ac:dyDescent="0.35">
      <c r="B33" t="s">
        <v>298</v>
      </c>
      <c r="C33" s="224" t="s">
        <v>333</v>
      </c>
      <c r="E33" s="426">
        <f>+'Fixed Cost'!D48*12</f>
        <v>20.97</v>
      </c>
      <c r="F33" s="225">
        <f>+'Fixed Cost'!D56*12</f>
        <v>20.97</v>
      </c>
      <c r="G33" s="225">
        <f>+'Fixed Cost'!D64*12</f>
        <v>41.94</v>
      </c>
      <c r="H33" s="439">
        <f>SUM(E33:G33)</f>
        <v>83.88</v>
      </c>
      <c r="J33" s="409">
        <f>+'Fixed Cost'!E48*12</f>
        <v>14.52</v>
      </c>
      <c r="K33" s="224">
        <f>+'Fixed Cost'!E64*12</f>
        <v>14.52</v>
      </c>
      <c r="L33" s="434">
        <f>SUM(I33:K33)</f>
        <v>29.04</v>
      </c>
      <c r="N33" s="519">
        <f>+'Fixed Cost'!F9*12</f>
        <v>54.239999999999995</v>
      </c>
      <c r="P33" s="434">
        <f>+'Fixed Cost'!G48*12</f>
        <v>62.04</v>
      </c>
      <c r="Q33" s="424"/>
      <c r="R33" s="421">
        <f>+P33+L33+H33+N33</f>
        <v>229.2</v>
      </c>
    </row>
    <row r="34" spans="2:21" s="445" customFormat="1" ht="25.5" customHeight="1" x14ac:dyDescent="0.35">
      <c r="B34" s="445" t="s">
        <v>332</v>
      </c>
      <c r="C34" s="413" t="s">
        <v>333</v>
      </c>
      <c r="E34" s="444">
        <f>SUM(E31:E33)</f>
        <v>61.739999999999995</v>
      </c>
      <c r="F34" s="446">
        <f>SUM(F31:F33)</f>
        <v>61.739999999999995</v>
      </c>
      <c r="G34" s="446">
        <f>SUM(G31:G33)</f>
        <v>123.47999999999999</v>
      </c>
      <c r="H34" s="441">
        <f>SUM(E34:G34)</f>
        <v>246.95999999999998</v>
      </c>
      <c r="J34" s="444">
        <f>SUM(J31:J33)</f>
        <v>37.32</v>
      </c>
      <c r="K34" s="446">
        <f>SUM(K31:K33)</f>
        <v>37.32</v>
      </c>
      <c r="L34" s="451">
        <f>SUM(I34:K34)</f>
        <v>74.64</v>
      </c>
      <c r="N34" s="526">
        <f>SUM(N31:N33)</f>
        <v>78.359999999999985</v>
      </c>
      <c r="O34" s="413"/>
      <c r="P34" s="441">
        <f>SUM(P31:P33)</f>
        <v>120</v>
      </c>
      <c r="Q34" s="422"/>
      <c r="R34" s="443">
        <f>+P34+L34+H34+N34</f>
        <v>519.95999999999992</v>
      </c>
      <c r="T34" s="465"/>
      <c r="U34" s="466"/>
    </row>
    <row r="35" spans="2:21" x14ac:dyDescent="0.35">
      <c r="E35" s="409"/>
      <c r="H35" s="434"/>
      <c r="J35" s="409"/>
      <c r="L35" s="434"/>
      <c r="N35" s="519"/>
      <c r="P35" s="434"/>
      <c r="Q35" s="424"/>
      <c r="R35" s="461"/>
    </row>
    <row r="36" spans="2:21" x14ac:dyDescent="0.35">
      <c r="B36" t="s">
        <v>331</v>
      </c>
      <c r="C36" s="224" t="s">
        <v>333</v>
      </c>
      <c r="E36" s="427">
        <f>E23-E34</f>
        <v>64.247542940872464</v>
      </c>
      <c r="F36" s="247">
        <f>F23-F34</f>
        <v>-15.170777794220506</v>
      </c>
      <c r="G36" s="247">
        <f>G23-G34</f>
        <v>-43.352436553620976</v>
      </c>
      <c r="H36" s="439">
        <f>SUM(E36:G36)</f>
        <v>5.7243285930309824</v>
      </c>
      <c r="J36" s="426">
        <f>J23-J34</f>
        <v>50.273374324670094</v>
      </c>
      <c r="K36" s="225">
        <f>K23-K34</f>
        <v>-30.038956479767332</v>
      </c>
      <c r="L36" s="439">
        <f>SUM(I36:K36)</f>
        <v>20.234417844902762</v>
      </c>
      <c r="N36" s="520">
        <f>N23+N28-N34</f>
        <v>-35.256781981600959</v>
      </c>
      <c r="P36" s="439">
        <f>P23-P34</f>
        <v>-45.779225537009495</v>
      </c>
      <c r="Q36" s="424"/>
      <c r="R36" s="459">
        <f>+P36+L36+H36+N36</f>
        <v>-55.077261080676706</v>
      </c>
    </row>
    <row r="37" spans="2:21" s="428" customFormat="1" ht="13" x14ac:dyDescent="0.3">
      <c r="B37" s="428" t="s">
        <v>330</v>
      </c>
      <c r="C37" s="429" t="s">
        <v>186</v>
      </c>
      <c r="E37" s="430">
        <f>+E36/E9*1000</f>
        <v>53.53961911739372</v>
      </c>
      <c r="F37" s="436">
        <f>+F36/F9*1000</f>
        <v>-25.284629657034177</v>
      </c>
      <c r="G37" s="436">
        <f>+G36/G9*1000</f>
        <v>-42.502388778059782</v>
      </c>
      <c r="H37" s="438">
        <f>+H36/H9*1000</f>
        <v>2.0299037563939653</v>
      </c>
      <c r="J37" s="430">
        <f>+J36/J9*1000</f>
        <v>59.849255148416773</v>
      </c>
      <c r="K37" s="436">
        <f>+K36/K9*1000</f>
        <v>-166.88309155426296</v>
      </c>
      <c r="L37" s="438">
        <f>+L36/L9*1000</f>
        <v>19.837664553826237</v>
      </c>
      <c r="N37" s="521">
        <f>+N36/N9*1000</f>
        <v>-97.935505504447107</v>
      </c>
      <c r="O37" s="429"/>
      <c r="P37" s="438">
        <f>+P36/P9*1000</f>
        <v>-54.499078020249399</v>
      </c>
      <c r="Q37" s="432"/>
      <c r="R37" s="460">
        <f>+R36/R9*1000</f>
        <v>-10.928027992197759</v>
      </c>
    </row>
    <row r="38" spans="2:21" x14ac:dyDescent="0.35">
      <c r="B38" t="s">
        <v>251</v>
      </c>
      <c r="C38" s="224" t="s">
        <v>5</v>
      </c>
      <c r="E38" s="425">
        <f>E37/E16*100</f>
        <v>9.3262562333524528</v>
      </c>
      <c r="F38" s="230">
        <f>F37/F16*100</f>
        <v>-4.6466444373803624</v>
      </c>
      <c r="G38" s="230">
        <f>G37/G16*100</f>
        <v>-8.0064829882333743</v>
      </c>
      <c r="H38" s="437">
        <f>H37/H16*100</f>
        <v>0.36768789672327801</v>
      </c>
      <c r="J38" s="425">
        <f>J37/J16*100</f>
        <v>10.425354122627436</v>
      </c>
      <c r="K38" s="230">
        <f>K37/K16*100</f>
        <v>-31.505722913169322</v>
      </c>
      <c r="L38" s="437">
        <f>L37/L16*100</f>
        <v>3.5033908659726603</v>
      </c>
      <c r="N38" s="527">
        <f>N37/N16*100</f>
        <v>-17.059733216903687</v>
      </c>
      <c r="P38" s="437">
        <f>P37/P16*100</f>
        <v>-9.4933877841724765</v>
      </c>
      <c r="Q38" s="424"/>
      <c r="R38" s="461">
        <f>R37/R16*100</f>
        <v>-1.9508115000416784</v>
      </c>
    </row>
    <row r="39" spans="2:21" x14ac:dyDescent="0.35">
      <c r="E39" s="409"/>
      <c r="H39" s="434"/>
      <c r="J39" s="409"/>
      <c r="L39" s="434"/>
      <c r="N39" s="519"/>
      <c r="P39" s="439"/>
      <c r="Q39" s="424"/>
      <c r="R39" s="420"/>
    </row>
    <row r="40" spans="2:21" x14ac:dyDescent="0.35">
      <c r="B40" t="s">
        <v>269</v>
      </c>
      <c r="C40" s="224" t="s">
        <v>333</v>
      </c>
      <c r="E40" s="426">
        <f>'Fixed Cost'!D49*12</f>
        <v>7.17</v>
      </c>
      <c r="F40" s="225">
        <f>+'Fixed Cost'!D57*12</f>
        <v>7.17</v>
      </c>
      <c r="G40" s="225">
        <f>+'Fixed Cost'!D65*12</f>
        <v>14.34</v>
      </c>
      <c r="H40" s="434">
        <f>SUM(E40:G40)</f>
        <v>28.68</v>
      </c>
      <c r="J40" s="409">
        <f>+'Fixed Cost'!E49*12</f>
        <v>15.120000000000001</v>
      </c>
      <c r="K40" s="224">
        <f>+'Fixed Cost'!E65*12</f>
        <v>15.120000000000001</v>
      </c>
      <c r="L40" s="434">
        <f>SUM(J40:K40)</f>
        <v>30.240000000000002</v>
      </c>
      <c r="N40" s="519">
        <f>+'Fixed Cost'!F11*12</f>
        <v>14.879999999999999</v>
      </c>
      <c r="P40" s="439">
        <f>+'Fixed Cost'!G11*12</f>
        <v>1.56</v>
      </c>
      <c r="Q40" s="424"/>
      <c r="R40" s="459">
        <f>+P40+L40+H40+N40</f>
        <v>75.36</v>
      </c>
    </row>
    <row r="41" spans="2:21" s="428" customFormat="1" ht="13" x14ac:dyDescent="0.3">
      <c r="B41" s="428" t="s">
        <v>352</v>
      </c>
      <c r="C41" s="429" t="s">
        <v>186</v>
      </c>
      <c r="E41" s="485">
        <f>(+E40+E34)/E9*1000</f>
        <v>57.424999999999997</v>
      </c>
      <c r="F41" s="447">
        <f>(+F40+F34)/F9*1000</f>
        <v>114.85</v>
      </c>
      <c r="G41" s="447">
        <f>(+G40+G34)/G9*1000</f>
        <v>135.11764705882351</v>
      </c>
      <c r="H41" s="486">
        <f>(H34+H40)*1000/H9</f>
        <v>97.744680851063833</v>
      </c>
      <c r="I41" s="509"/>
      <c r="J41" s="485">
        <f>(+J40+J34)/J9*1000</f>
        <v>62.428571428571423</v>
      </c>
      <c r="K41" s="447">
        <f>(+K40+K34)/K9*1000</f>
        <v>291.33333333333331</v>
      </c>
      <c r="L41" s="486">
        <f>(L34+L40)*1000/L9</f>
        <v>102.82352941176471</v>
      </c>
      <c r="M41" s="509"/>
      <c r="N41" s="546">
        <f>(+N40+N34)/N9*1000</f>
        <v>258.99999999999994</v>
      </c>
      <c r="O41" s="447"/>
      <c r="P41" s="486">
        <f>(+P40+P34)/P9*1000</f>
        <v>144.71428571428572</v>
      </c>
      <c r="Q41" s="506"/>
      <c r="R41" s="501">
        <f>(R34+R40)*1000/R9</f>
        <v>118.11904761904759</v>
      </c>
    </row>
    <row r="42" spans="2:21" x14ac:dyDescent="0.35">
      <c r="E42" s="637">
        <f>+E40/E9*1000</f>
        <v>5.9750000000000005</v>
      </c>
      <c r="F42" s="638">
        <f t="shared" ref="F42:H42" si="1">+F40/F9*1000</f>
        <v>11.950000000000001</v>
      </c>
      <c r="G42" s="638">
        <f t="shared" si="1"/>
        <v>14.058823529411764</v>
      </c>
      <c r="H42" s="639">
        <f t="shared" si="1"/>
        <v>10.170212765957446</v>
      </c>
      <c r="I42" s="638"/>
      <c r="J42" s="640">
        <f t="shared" ref="J42:L42" si="2">+J40/J9*1000</f>
        <v>18.000000000000004</v>
      </c>
      <c r="K42" s="638">
        <f t="shared" si="2"/>
        <v>84</v>
      </c>
      <c r="L42" s="639">
        <f t="shared" si="2"/>
        <v>29.647058823529417</v>
      </c>
      <c r="M42" s="638"/>
      <c r="N42" s="641">
        <f>+N40/N9*1000</f>
        <v>41.333333333333336</v>
      </c>
      <c r="O42" s="638"/>
      <c r="P42" s="639">
        <f>+P40/P9*1000</f>
        <v>1.8571428571428572</v>
      </c>
      <c r="Q42" s="642"/>
      <c r="R42" s="643">
        <f>+R40/R9*1000</f>
        <v>14.952380952380953</v>
      </c>
    </row>
    <row r="43" spans="2:21" s="445" customFormat="1" ht="25.5" customHeight="1" x14ac:dyDescent="0.35">
      <c r="B43" s="445" t="s">
        <v>329</v>
      </c>
      <c r="C43" s="413" t="s">
        <v>333</v>
      </c>
      <c r="E43" s="444">
        <f>+E36-E40</f>
        <v>57.077542940872462</v>
      </c>
      <c r="F43" s="446">
        <f>+F36-F40</f>
        <v>-22.340777794220507</v>
      </c>
      <c r="G43" s="446">
        <f>+G36-G40</f>
        <v>-57.692436553620979</v>
      </c>
      <c r="H43" s="441">
        <f>SUM(E43:G43)</f>
        <v>-22.955671406969024</v>
      </c>
      <c r="J43" s="444">
        <f>+J36-J40</f>
        <v>35.153374324670096</v>
      </c>
      <c r="K43" s="446">
        <f>+K36-K40</f>
        <v>-45.158956479767333</v>
      </c>
      <c r="L43" s="441">
        <f>SUM(I43:K43)</f>
        <v>-10.005582155097237</v>
      </c>
      <c r="N43" s="524">
        <f>+N36-N40</f>
        <v>-50.136781981600961</v>
      </c>
      <c r="O43" s="413"/>
      <c r="P43" s="441">
        <f>+P36-P40</f>
        <v>-47.339225537009497</v>
      </c>
      <c r="Q43" s="422"/>
      <c r="R43" s="458">
        <f>+P43+L43+H43+N43</f>
        <v>-130.43726108067671</v>
      </c>
    </row>
    <row r="44" spans="2:21" s="428" customFormat="1" ht="13" x14ac:dyDescent="0.3">
      <c r="B44" s="428" t="s">
        <v>341</v>
      </c>
      <c r="C44" s="429" t="s">
        <v>186</v>
      </c>
      <c r="E44" s="430">
        <f>+E43/E9*1000</f>
        <v>47.564619117393718</v>
      </c>
      <c r="F44" s="436">
        <f>+F43/F9*1000</f>
        <v>-37.234629657034176</v>
      </c>
      <c r="G44" s="436">
        <f>+G43/G9*1000</f>
        <v>-56.56121230747155</v>
      </c>
      <c r="H44" s="438">
        <f>+H43/H9*1000</f>
        <v>-8.1403090095634845</v>
      </c>
      <c r="J44" s="430">
        <f>+J43/J9*1000</f>
        <v>41.849255148416781</v>
      </c>
      <c r="K44" s="436">
        <f>+K43/K9*1000</f>
        <v>-250.88309155426296</v>
      </c>
      <c r="L44" s="438">
        <f>+L43/L9*1000</f>
        <v>-9.8093942697031746</v>
      </c>
      <c r="N44" s="521">
        <f>+N43/N9*1000</f>
        <v>-139.26883883778046</v>
      </c>
      <c r="O44" s="429"/>
      <c r="P44" s="438">
        <f>+P43/P9*1000</f>
        <v>-56.356220877392261</v>
      </c>
      <c r="Q44" s="432"/>
      <c r="R44" s="460">
        <f>+R43/R9*1000</f>
        <v>-25.880408944578711</v>
      </c>
    </row>
    <row r="45" spans="2:21" ht="15" thickBot="1" x14ac:dyDescent="0.4">
      <c r="B45" t="s">
        <v>251</v>
      </c>
      <c r="C45" s="224" t="s">
        <v>5</v>
      </c>
      <c r="E45" s="448">
        <f>+E44/E16*100</f>
        <v>8.2854497817395494</v>
      </c>
      <c r="F45" s="402">
        <f>+F44/F16*100</f>
        <v>-6.8427375492779925</v>
      </c>
      <c r="G45" s="402">
        <f>+G44/G16*100</f>
        <v>-10.654845460530836</v>
      </c>
      <c r="H45" s="449">
        <f>+H44/H16*100</f>
        <v>-1.4745000047298036</v>
      </c>
      <c r="J45" s="448">
        <f>+J44/J16*100</f>
        <v>7.2898702516596972</v>
      </c>
      <c r="K45" s="402">
        <f>+K44/K16*100</f>
        <v>-47.36401448757789</v>
      </c>
      <c r="L45" s="449">
        <f>+L44/L16*100</f>
        <v>-1.7323683537422352</v>
      </c>
      <c r="N45" s="528">
        <f>+N44/N16*100</f>
        <v>-24.259733216903694</v>
      </c>
      <c r="O45" s="372"/>
      <c r="P45" s="498">
        <f>+P44/P16*100</f>
        <v>-9.8168900883199441</v>
      </c>
      <c r="Q45" s="424"/>
      <c r="R45" s="462">
        <f>+R44/R16*100</f>
        <v>-4.62002837391268</v>
      </c>
    </row>
    <row r="46" spans="2:21" ht="15" thickTop="1" x14ac:dyDescent="0.35">
      <c r="E46" s="225"/>
      <c r="F46" s="225"/>
      <c r="G46" s="225"/>
      <c r="H46" s="225"/>
      <c r="J46" s="225"/>
      <c r="K46" s="225"/>
      <c r="L46" s="225"/>
      <c r="N46" s="230"/>
      <c r="P46" s="230"/>
      <c r="R46" s="230"/>
    </row>
    <row r="47" spans="2:21" x14ac:dyDescent="0.35">
      <c r="B47" t="s">
        <v>391</v>
      </c>
      <c r="C47" s="563" t="s">
        <v>186</v>
      </c>
      <c r="E47" s="564">
        <f>E19+E41</f>
        <v>526.50945495668043</v>
      </c>
      <c r="F47" s="565">
        <f>F19+F41</f>
        <v>577.38277780518229</v>
      </c>
      <c r="G47" s="565">
        <f>G19+G41</f>
        <v>577.99912080420359</v>
      </c>
      <c r="H47" s="566">
        <f>H19+H41</f>
        <v>555.95748789057211</v>
      </c>
      <c r="J47" s="564">
        <f>J19+J41</f>
        <v>532.22481892565725</v>
      </c>
      <c r="K47" s="565">
        <f>K19+K41</f>
        <v>770.57444957895427</v>
      </c>
      <c r="L47" s="566">
        <f>L19+L41</f>
        <v>574.28651845270974</v>
      </c>
      <c r="N47" s="564">
        <f>N19+N41</f>
        <v>719.0095795785212</v>
      </c>
      <c r="O47" s="346"/>
      <c r="P47" s="566">
        <f>P19+P41</f>
        <v>630.43029495146629</v>
      </c>
      <c r="R47" s="567">
        <f>R19+R41</f>
        <v>583.72564703981686</v>
      </c>
    </row>
    <row r="48" spans="2:21" s="473" customFormat="1" ht="15" thickBot="1" x14ac:dyDescent="0.4">
      <c r="B48" s="473" t="s">
        <v>392</v>
      </c>
      <c r="C48" s="474" t="s">
        <v>393</v>
      </c>
      <c r="E48" s="568">
        <f>(E34+E40)/(E16-E19)*1000</f>
        <v>656.35060474834745</v>
      </c>
      <c r="F48" s="569">
        <f>(F34+F40)/(F16-F19)*1000</f>
        <v>844.32625509661898</v>
      </c>
      <c r="G48" s="569">
        <f>(G34+G40)/(G16-G19)*1000</f>
        <v>1566.7025226201324</v>
      </c>
      <c r="H48" s="570">
        <f>(H34+H40)/(H16-H19)*1000</f>
        <v>2936.7239236711839</v>
      </c>
      <c r="I48" s="571"/>
      <c r="J48" s="568">
        <f>(J34+J40)/(J16-J19)*1000</f>
        <v>502.88735123649286</v>
      </c>
      <c r="K48" s="569">
        <f>(K34+K40)/(K16-K19)*1000</f>
        <v>1039.4400135809649</v>
      </c>
      <c r="L48" s="570">
        <f>(L34+L40)/(L16-L19)*1000</f>
        <v>1106.5760972217788</v>
      </c>
      <c r="M48" s="571"/>
      <c r="N48" s="568">
        <f>(N34+N40)/(N16-N19)*1000</f>
        <v>817.43228173106263</v>
      </c>
      <c r="O48" s="569"/>
      <c r="P48" s="570">
        <f>(P34+P40)/(P16-P19)*1000</f>
        <v>1375.7657574823133</v>
      </c>
      <c r="Q48" s="572"/>
      <c r="R48" s="573">
        <f>(R34+R40)/(R16-R19)*1000</f>
        <v>6294.88829894428</v>
      </c>
    </row>
    <row r="49" spans="8:9" ht="15" thickTop="1" x14ac:dyDescent="0.35"/>
    <row r="50" spans="8:9" x14ac:dyDescent="0.35">
      <c r="H50" s="376">
        <f>+'P&amp;L LE Monthly'!H50+1</f>
        <v>11</v>
      </c>
      <c r="I50" s="377" t="s">
        <v>388</v>
      </c>
    </row>
  </sheetData>
  <mergeCells count="3">
    <mergeCell ref="B2:R2"/>
    <mergeCell ref="E4:H4"/>
    <mergeCell ref="J4:L4"/>
  </mergeCells>
  <pageMargins left="0.7" right="0.7" top="0.75" bottom="0.75" header="0.3" footer="0.3"/>
  <pageSetup scale="66" orientation="landscape" horizontalDpi="4294967295" verticalDpi="4294967295" r:id="rId1"/>
  <headerFooter>
    <oddFooter>&amp;C&amp;1#&amp;"Calibri"&amp;10&amp;K737373EZDK Business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1:U50"/>
  <sheetViews>
    <sheetView showGridLines="0" topLeftCell="A11" zoomScale="115" zoomScaleNormal="115" workbookViewId="0">
      <selection activeCell="S33" sqref="S33"/>
    </sheetView>
  </sheetViews>
  <sheetFormatPr defaultRowHeight="14.5" x14ac:dyDescent="0.35"/>
  <cols>
    <col min="2" max="2" width="29.7265625" bestFit="1" customWidth="1"/>
    <col min="3" max="3" width="9.1796875" style="224"/>
    <col min="5" max="5" width="10.54296875" style="224" customWidth="1"/>
    <col min="6" max="6" width="8.7265625" style="224" customWidth="1"/>
    <col min="7" max="7" width="9" style="224" customWidth="1"/>
    <col min="8" max="8" width="10" style="224" bestFit="1" customWidth="1"/>
    <col min="9" max="9" width="6.453125" customWidth="1"/>
    <col min="10" max="12" width="9.1796875" style="224"/>
    <col min="13" max="13" width="6.54296875" customWidth="1"/>
    <col min="14" max="14" width="9.1796875" style="224"/>
    <col min="15" max="15" width="2.453125" style="224" customWidth="1"/>
    <col min="16" max="16" width="9.1796875" style="224"/>
    <col min="17" max="17" width="3.453125" style="224" customWidth="1"/>
    <col min="18" max="18" width="9.1796875" style="224"/>
    <col min="19" max="19" width="13.1796875" bestFit="1" customWidth="1"/>
  </cols>
  <sheetData>
    <row r="1" spans="2:19" ht="15" thickBot="1" x14ac:dyDescent="0.4"/>
    <row r="2" spans="2:19" ht="19" thickBot="1" x14ac:dyDescent="0.5">
      <c r="B2" s="812" t="s">
        <v>342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4"/>
    </row>
    <row r="4" spans="2:19" s="412" customFormat="1" ht="15.5" x14ac:dyDescent="0.35">
      <c r="B4" s="412" t="s">
        <v>190</v>
      </c>
      <c r="C4" s="413">
        <f>+'Fixed Cost'!D15</f>
        <v>16.2</v>
      </c>
      <c r="E4" s="809" t="s">
        <v>177</v>
      </c>
      <c r="F4" s="810"/>
      <c r="G4" s="810"/>
      <c r="H4" s="811"/>
      <c r="J4" s="809" t="s">
        <v>198</v>
      </c>
      <c r="K4" s="810"/>
      <c r="L4" s="811"/>
      <c r="N4" s="415" t="s">
        <v>179</v>
      </c>
      <c r="O4" s="416"/>
      <c r="P4" s="416" t="s">
        <v>199</v>
      </c>
      <c r="Q4" s="422"/>
      <c r="R4" s="418" t="s">
        <v>300</v>
      </c>
    </row>
    <row r="5" spans="2:19" s="364" customFormat="1" x14ac:dyDescent="0.35">
      <c r="B5" s="364" t="s">
        <v>230</v>
      </c>
      <c r="C5" s="384" t="s">
        <v>178</v>
      </c>
      <c r="E5" s="414" t="s">
        <v>285</v>
      </c>
      <c r="F5" s="384" t="s">
        <v>286</v>
      </c>
      <c r="G5" s="384" t="s">
        <v>287</v>
      </c>
      <c r="H5" s="435" t="s">
        <v>334</v>
      </c>
      <c r="J5" s="414" t="s">
        <v>285</v>
      </c>
      <c r="K5" s="384" t="s">
        <v>287</v>
      </c>
      <c r="L5" s="435" t="s">
        <v>334</v>
      </c>
      <c r="N5" s="530" t="s">
        <v>285</v>
      </c>
      <c r="O5" s="384"/>
      <c r="P5" s="435" t="s">
        <v>285</v>
      </c>
      <c r="Q5" s="423"/>
      <c r="R5" s="419"/>
    </row>
    <row r="6" spans="2:19" x14ac:dyDescent="0.35">
      <c r="E6" s="409"/>
      <c r="H6" s="434"/>
      <c r="J6" s="409"/>
      <c r="L6" s="434"/>
      <c r="N6" s="519"/>
      <c r="P6" s="434"/>
      <c r="Q6" s="424"/>
      <c r="R6" s="420"/>
    </row>
    <row r="7" spans="2:19" x14ac:dyDescent="0.35">
      <c r="B7" t="s">
        <v>101</v>
      </c>
      <c r="C7" s="224" t="s">
        <v>289</v>
      </c>
      <c r="E7" s="495">
        <f>+'Market Share'!E6*12</f>
        <v>1200</v>
      </c>
      <c r="F7" s="381">
        <f>+'Market Share'!F6*12</f>
        <v>480</v>
      </c>
      <c r="G7" s="381">
        <f>+'Market Share'!G6*12</f>
        <v>540</v>
      </c>
      <c r="H7" s="450">
        <f>SUM(E7:G7)</f>
        <v>2220</v>
      </c>
      <c r="I7" s="381"/>
      <c r="J7" s="495">
        <f>+'Market Share'!E7*12</f>
        <v>840</v>
      </c>
      <c r="K7" s="381">
        <f>+'Market Share'!G7*12</f>
        <v>90</v>
      </c>
      <c r="L7" s="450">
        <f>SUM(J7:K7)</f>
        <v>930</v>
      </c>
      <c r="M7" s="532"/>
      <c r="N7" s="533">
        <f>+'Market Share'!E8*12</f>
        <v>360</v>
      </c>
      <c r="O7" s="534"/>
      <c r="P7" s="450">
        <f>+'Market Share'!E9*12</f>
        <v>840</v>
      </c>
      <c r="Q7" s="424"/>
      <c r="R7" s="421">
        <f>+P7+L7+H7+N7</f>
        <v>4350</v>
      </c>
    </row>
    <row r="8" spans="2:19" x14ac:dyDescent="0.35">
      <c r="B8" t="s">
        <v>100</v>
      </c>
      <c r="C8" s="224" t="s">
        <v>289</v>
      </c>
      <c r="E8" s="531">
        <f>+'Market Share'!E19</f>
        <v>0</v>
      </c>
      <c r="F8" s="381">
        <f>+'Market Share'!F19*12</f>
        <v>120</v>
      </c>
      <c r="G8" s="381">
        <f>+'Market Share'!G19*12</f>
        <v>480</v>
      </c>
      <c r="H8" s="450">
        <f>SUM(E8:G8)</f>
        <v>600</v>
      </c>
      <c r="I8" s="381"/>
      <c r="J8" s="531">
        <f>+'Market Share'!E20</f>
        <v>0</v>
      </c>
      <c r="K8" s="381">
        <f>+'Market Share'!G20*12</f>
        <v>90</v>
      </c>
      <c r="L8" s="450">
        <f>SUM(J8:K8)</f>
        <v>90</v>
      </c>
      <c r="M8" s="532"/>
      <c r="N8" s="531">
        <v>0</v>
      </c>
      <c r="O8" s="534"/>
      <c r="P8" s="535">
        <v>0</v>
      </c>
      <c r="Q8" s="424"/>
      <c r="R8" s="421">
        <f>+P8+L8+H8+N8</f>
        <v>690</v>
      </c>
    </row>
    <row r="9" spans="2:19" x14ac:dyDescent="0.35">
      <c r="B9" t="s">
        <v>288</v>
      </c>
      <c r="C9" s="224" t="s">
        <v>289</v>
      </c>
      <c r="E9" s="495">
        <f>SUM(E7:E8)</f>
        <v>1200</v>
      </c>
      <c r="F9" s="381">
        <f>SUM(F7:F8)</f>
        <v>600</v>
      </c>
      <c r="G9" s="381">
        <f>SUM(G7:G8)</f>
        <v>1020</v>
      </c>
      <c r="H9" s="450">
        <f>SUM(H7:H8)</f>
        <v>2820</v>
      </c>
      <c r="I9" s="381"/>
      <c r="J9" s="495">
        <f>SUM(J7:J8)</f>
        <v>840</v>
      </c>
      <c r="K9" s="381">
        <f>SUM(K7:K8)</f>
        <v>180</v>
      </c>
      <c r="L9" s="450">
        <f>SUM(L7:L8)</f>
        <v>1020</v>
      </c>
      <c r="M9" s="532"/>
      <c r="N9" s="495">
        <f>SUM(N7:N8)</f>
        <v>360</v>
      </c>
      <c r="O9" s="534"/>
      <c r="P9" s="381">
        <f>SUM(P7:P8)</f>
        <v>840</v>
      </c>
      <c r="Q9" s="424"/>
      <c r="R9" s="421">
        <f>+P9+L9+H9+N9</f>
        <v>5040</v>
      </c>
    </row>
    <row r="10" spans="2:19" x14ac:dyDescent="0.35">
      <c r="E10" s="409"/>
      <c r="H10" s="434"/>
      <c r="J10" s="409"/>
      <c r="L10" s="434"/>
      <c r="N10" s="409"/>
      <c r="O10" s="510"/>
      <c r="Q10" s="424"/>
      <c r="R10" s="420"/>
    </row>
    <row r="11" spans="2:19" x14ac:dyDescent="0.35">
      <c r="B11" t="s">
        <v>319</v>
      </c>
      <c r="C11" s="224" t="s">
        <v>344</v>
      </c>
      <c r="E11" s="495">
        <f>+E12*E7/1000</f>
        <v>11160</v>
      </c>
      <c r="F11" s="381">
        <f>F12*F7/1000</f>
        <v>4356</v>
      </c>
      <c r="G11" s="381">
        <f>G12*G7/1000</f>
        <v>4806</v>
      </c>
      <c r="H11" s="450">
        <f t="shared" ref="H11:H18" si="0">SUM(E11:G11)</f>
        <v>20322</v>
      </c>
      <c r="I11" s="232"/>
      <c r="J11" s="425">
        <f>J12*J7/1000</f>
        <v>7812</v>
      </c>
      <c r="K11" s="230">
        <f>+K12*K7/1000</f>
        <v>801</v>
      </c>
      <c r="L11" s="437">
        <f>SUM(J11:K11)</f>
        <v>8613</v>
      </c>
      <c r="M11" s="232"/>
      <c r="N11" s="425">
        <f>N12*N7/1000</f>
        <v>3348</v>
      </c>
      <c r="O11" s="511"/>
      <c r="P11" s="230">
        <f>+P12*P9/1000</f>
        <v>7812</v>
      </c>
      <c r="Q11" s="424"/>
      <c r="R11" s="421">
        <f>+P11+L11+H11+N11</f>
        <v>40095</v>
      </c>
    </row>
    <row r="12" spans="2:19" s="428" customFormat="1" ht="13" x14ac:dyDescent="0.3">
      <c r="B12" s="428" t="s">
        <v>320</v>
      </c>
      <c r="C12" s="429" t="s">
        <v>345</v>
      </c>
      <c r="E12" s="485">
        <f>+'Market Share'!E29</f>
        <v>9300</v>
      </c>
      <c r="F12" s="447">
        <f>+'Market Share'!F29</f>
        <v>9075</v>
      </c>
      <c r="G12" s="447">
        <f>+'Market Share'!G29</f>
        <v>8900</v>
      </c>
      <c r="H12" s="486">
        <f>+H11/H7*1000</f>
        <v>9154.0540540540533</v>
      </c>
      <c r="J12" s="430">
        <f>+'Market Share'!E30</f>
        <v>9300</v>
      </c>
      <c r="K12" s="447">
        <f>+'Market Share'!G30</f>
        <v>8900</v>
      </c>
      <c r="L12" s="486">
        <f>+L11/L7*1000</f>
        <v>9261.2903225806458</v>
      </c>
      <c r="N12" s="430">
        <f>+'Market Share'!E31</f>
        <v>9300</v>
      </c>
      <c r="O12" s="512"/>
      <c r="P12" s="436">
        <f>+'Market Share'!E32</f>
        <v>9300</v>
      </c>
      <c r="Q12" s="432"/>
      <c r="R12" s="501">
        <f>+R11/R7*1000</f>
        <v>9217.2413793103442</v>
      </c>
    </row>
    <row r="13" spans="2:19" x14ac:dyDescent="0.35">
      <c r="B13" t="s">
        <v>321</v>
      </c>
      <c r="C13" s="224" t="s">
        <v>344</v>
      </c>
      <c r="E13" s="410">
        <f>E14*E8/1000</f>
        <v>0</v>
      </c>
      <c r="F13" s="230">
        <f>F14*F8/1000</f>
        <v>933.12</v>
      </c>
      <c r="G13" s="230">
        <f>+G14*G8/1000</f>
        <v>3965.76</v>
      </c>
      <c r="H13" s="437">
        <f t="shared" si="0"/>
        <v>4898.88</v>
      </c>
      <c r="J13" s="410">
        <v>0</v>
      </c>
      <c r="K13" s="230">
        <f>+K14*K8/1000</f>
        <v>743.58</v>
      </c>
      <c r="L13" s="502">
        <f>SUM(J13:K13)</f>
        <v>743.58</v>
      </c>
      <c r="N13" s="410">
        <v>0</v>
      </c>
      <c r="O13" s="510"/>
      <c r="P13" s="411">
        <v>0</v>
      </c>
      <c r="Q13" s="424"/>
      <c r="R13" s="421">
        <f>+P13+L13+H13+N13</f>
        <v>5642.46</v>
      </c>
    </row>
    <row r="14" spans="2:19" s="428" customFormat="1" x14ac:dyDescent="0.3">
      <c r="B14" s="428" t="s">
        <v>320</v>
      </c>
      <c r="C14" s="429" t="s">
        <v>345</v>
      </c>
      <c r="E14" s="485">
        <f>+'Market Share'!E34*C4</f>
        <v>7938</v>
      </c>
      <c r="F14" s="447">
        <f>+'Market Share'!F34*C4</f>
        <v>7776</v>
      </c>
      <c r="G14" s="447">
        <f>+'Market Share'!G34*C4</f>
        <v>8262</v>
      </c>
      <c r="H14" s="486">
        <f>+H13/H8*1000</f>
        <v>8164.7999999999993</v>
      </c>
      <c r="J14" s="453">
        <v>0</v>
      </c>
      <c r="K14" s="447">
        <f>+'Market Share'!G35*C4</f>
        <v>8262</v>
      </c>
      <c r="L14" s="455">
        <v>0</v>
      </c>
      <c r="N14" s="410">
        <v>0</v>
      </c>
      <c r="O14" s="512"/>
      <c r="P14" s="454">
        <v>0</v>
      </c>
      <c r="Q14" s="432"/>
      <c r="R14" s="501">
        <f>+R13/R8*1000</f>
        <v>8177.478260869565</v>
      </c>
    </row>
    <row r="15" spans="2:19" s="364" customFormat="1" x14ac:dyDescent="0.35">
      <c r="B15" s="364" t="s">
        <v>322</v>
      </c>
      <c r="C15" s="384" t="s">
        <v>344</v>
      </c>
      <c r="E15" s="499">
        <f>+E13+E11</f>
        <v>11160</v>
      </c>
      <c r="F15" s="500">
        <f>+F13+F11</f>
        <v>5289.12</v>
      </c>
      <c r="G15" s="500">
        <f>+G13+G11</f>
        <v>8771.76</v>
      </c>
      <c r="H15" s="490">
        <f t="shared" si="0"/>
        <v>25220.879999999997</v>
      </c>
      <c r="J15" s="499">
        <f>+J13+J11</f>
        <v>7812</v>
      </c>
      <c r="K15" s="500">
        <f>+K13+K11</f>
        <v>1544.58</v>
      </c>
      <c r="L15" s="490">
        <f>SUM(J15:K15)</f>
        <v>9356.58</v>
      </c>
      <c r="N15" s="503">
        <f>+N13+N11</f>
        <v>3348</v>
      </c>
      <c r="O15" s="513"/>
      <c r="P15" s="488">
        <f>+P13+P11</f>
        <v>7812</v>
      </c>
      <c r="Q15" s="423"/>
      <c r="R15" s="482">
        <f>+P15+L15+H15+N15</f>
        <v>45737.46</v>
      </c>
      <c r="S15" s="718">
        <f>R15</f>
        <v>45737.46</v>
      </c>
    </row>
    <row r="16" spans="2:19" s="428" customFormat="1" ht="13" x14ac:dyDescent="0.3">
      <c r="B16" s="428" t="s">
        <v>323</v>
      </c>
      <c r="C16" s="429" t="s">
        <v>345</v>
      </c>
      <c r="E16" s="485">
        <f>+E15*1000/(E9)</f>
        <v>9300</v>
      </c>
      <c r="F16" s="447">
        <f>F15/F9*1000</f>
        <v>8815.1999999999989</v>
      </c>
      <c r="G16" s="447">
        <f>+G15/G9*1000</f>
        <v>8599.7647058823532</v>
      </c>
      <c r="H16" s="486">
        <f>+H15/H9*1000</f>
        <v>8943.5744680851039</v>
      </c>
      <c r="J16" s="485">
        <f>+J15*1000/(J9)</f>
        <v>9300</v>
      </c>
      <c r="K16" s="447">
        <f>+K15*1000/(K9)</f>
        <v>8581</v>
      </c>
      <c r="L16" s="486">
        <f>+L15/L9*1000</f>
        <v>9173.1176470588234</v>
      </c>
      <c r="N16" s="430">
        <f>+N15*1000/(N9)</f>
        <v>9300</v>
      </c>
      <c r="O16" s="512"/>
      <c r="P16" s="436">
        <f>P15/P9*1000</f>
        <v>9300</v>
      </c>
      <c r="Q16" s="432"/>
      <c r="R16" s="460">
        <f>+R15/R9*1000</f>
        <v>9074.8928571428569</v>
      </c>
    </row>
    <row r="17" spans="2:18" x14ac:dyDescent="0.35">
      <c r="E17" s="409"/>
      <c r="H17" s="434"/>
      <c r="J17" s="409"/>
      <c r="L17" s="434"/>
      <c r="N17" s="409"/>
      <c r="O17" s="510"/>
      <c r="Q17" s="424"/>
      <c r="R17" s="420"/>
    </row>
    <row r="18" spans="2:18" s="364" customFormat="1" x14ac:dyDescent="0.35">
      <c r="B18" s="364" t="s">
        <v>324</v>
      </c>
      <c r="C18" s="384" t="s">
        <v>344</v>
      </c>
      <c r="E18" s="499">
        <f>(+E19*E9)/1000</f>
        <v>9119.0018043578675</v>
      </c>
      <c r="F18" s="500">
        <f>+F19*F9/1000</f>
        <v>4495.8186002663715</v>
      </c>
      <c r="G18" s="500">
        <f>+G19*G9/1000</f>
        <v>7318.1734721686607</v>
      </c>
      <c r="H18" s="490">
        <f t="shared" si="0"/>
        <v>20932.993876792898</v>
      </c>
      <c r="J18" s="487">
        <f>J19*J9/1000</f>
        <v>6392.9873359403446</v>
      </c>
      <c r="K18" s="488">
        <f>K19*K9/1000</f>
        <v>1397.4670949722308</v>
      </c>
      <c r="L18" s="489">
        <f>SUM(J18:K18)</f>
        <v>7790.4544309125758</v>
      </c>
      <c r="N18" s="479">
        <f>N19*N9/1000</f>
        <v>2682.7758681019359</v>
      </c>
      <c r="O18" s="513"/>
      <c r="P18" s="484">
        <f>P19*P9/1000</f>
        <v>6609.6234536995544</v>
      </c>
      <c r="Q18" s="423"/>
      <c r="R18" s="482">
        <f>+P18+L18+H18+N18</f>
        <v>38015.847629506963</v>
      </c>
    </row>
    <row r="19" spans="2:18" s="428" customFormat="1" ht="13" x14ac:dyDescent="0.3">
      <c r="B19" s="428" t="s">
        <v>325</v>
      </c>
      <c r="C19" s="429" t="s">
        <v>345</v>
      </c>
      <c r="E19" s="485">
        <f>+'EZDK Rebar'!E205*C4</f>
        <v>7599.1681702982232</v>
      </c>
      <c r="F19" s="447">
        <f>+'EZDK Wire'!E86</f>
        <v>7493.0310004439534</v>
      </c>
      <c r="G19" s="447">
        <f>+'EZDK Flat'!E205*C4</f>
        <v>7174.6798746751574</v>
      </c>
      <c r="H19" s="486">
        <f>+H18/H9*1000</f>
        <v>7423.0474740400341</v>
      </c>
      <c r="J19" s="485">
        <f>+'EFS Rebar'!E205*C4</f>
        <v>7610.6992094527905</v>
      </c>
      <c r="K19" s="447">
        <f>'EFS Flat'!E205*C4</f>
        <v>7763.7060831790595</v>
      </c>
      <c r="L19" s="486">
        <f>+L18/L9*1000</f>
        <v>7637.7004224633092</v>
      </c>
      <c r="N19" s="485">
        <f>+'ERM Rolling'!E86</f>
        <v>7452.1551891720446</v>
      </c>
      <c r="O19" s="512"/>
      <c r="P19" s="447">
        <f>'ESR Rebar'!E161*C4</f>
        <v>7868.5993496423262</v>
      </c>
      <c r="Q19" s="432"/>
      <c r="R19" s="501">
        <f>+R18/R9*1000</f>
        <v>7542.8269106164607</v>
      </c>
    </row>
    <row r="20" spans="2:18" x14ac:dyDescent="0.35">
      <c r="E20" s="409"/>
      <c r="H20" s="434"/>
      <c r="J20" s="409"/>
      <c r="L20" s="434"/>
      <c r="N20" s="409"/>
      <c r="O20" s="510"/>
      <c r="Q20" s="424"/>
      <c r="R20" s="420"/>
    </row>
    <row r="21" spans="2:18" x14ac:dyDescent="0.35">
      <c r="B21" t="s">
        <v>326</v>
      </c>
      <c r="C21" s="224" t="s">
        <v>345</v>
      </c>
      <c r="E21" s="410">
        <v>0</v>
      </c>
      <c r="F21" s="230">
        <f>+C4*0.2*12</f>
        <v>38.880000000000003</v>
      </c>
      <c r="G21" s="230">
        <f>+C4*0.8*12</f>
        <v>155.52000000000001</v>
      </c>
      <c r="H21" s="450">
        <f>SUM(E21:G21)</f>
        <v>194.4</v>
      </c>
      <c r="J21" s="410">
        <v>0</v>
      </c>
      <c r="K21" s="230">
        <f>+C4*0.15*12</f>
        <v>29.159999999999997</v>
      </c>
      <c r="L21" s="437">
        <f>+K21</f>
        <v>29.159999999999997</v>
      </c>
      <c r="N21" s="410">
        <v>0</v>
      </c>
      <c r="O21" s="510"/>
      <c r="P21" s="411">
        <v>0</v>
      </c>
      <c r="Q21" s="424"/>
      <c r="R21" s="421">
        <f>+P21+L21+H21+N21</f>
        <v>223.56</v>
      </c>
    </row>
    <row r="22" spans="2:18" x14ac:dyDescent="0.35">
      <c r="E22" s="409"/>
      <c r="H22" s="434"/>
      <c r="J22" s="409"/>
      <c r="L22" s="434"/>
      <c r="N22" s="409"/>
      <c r="O22" s="510"/>
      <c r="Q22" s="424"/>
      <c r="R22" s="420"/>
    </row>
    <row r="23" spans="2:18" s="445" customFormat="1" ht="31.5" customHeight="1" x14ac:dyDescent="0.35">
      <c r="B23" s="445" t="s">
        <v>328</v>
      </c>
      <c r="C23" s="413" t="s">
        <v>344</v>
      </c>
      <c r="E23" s="491">
        <f>E15-E18-E21</f>
        <v>2040.9981956421325</v>
      </c>
      <c r="F23" s="536">
        <f>F15-F18-F21</f>
        <v>754.42139973362839</v>
      </c>
      <c r="G23" s="536">
        <f>G15-G18-G21</f>
        <v>1298.0665278313395</v>
      </c>
      <c r="H23" s="537">
        <f>SUM(E23:G23)</f>
        <v>4093.4861232071003</v>
      </c>
      <c r="I23" s="538"/>
      <c r="J23" s="491">
        <f>J15-J18-J21</f>
        <v>1419.0126640596554</v>
      </c>
      <c r="K23" s="536">
        <f>K15-K18-K21</f>
        <v>117.95290502776911</v>
      </c>
      <c r="L23" s="537">
        <f>SUM(I23:K23)</f>
        <v>1536.9655690874245</v>
      </c>
      <c r="M23" s="538"/>
      <c r="N23" s="491">
        <f>N15-N18-N21</f>
        <v>665.22413189806412</v>
      </c>
      <c r="O23" s="539"/>
      <c r="P23" s="536">
        <f>P15-P18-P21</f>
        <v>1202.3765463004456</v>
      </c>
      <c r="Q23" s="540"/>
      <c r="R23" s="541">
        <f>+P23+L23+H23+N23</f>
        <v>7498.0523704930338</v>
      </c>
    </row>
    <row r="24" spans="2:18" s="428" customFormat="1" ht="13" x14ac:dyDescent="0.3">
      <c r="B24" s="428" t="s">
        <v>327</v>
      </c>
      <c r="C24" s="429" t="s">
        <v>345</v>
      </c>
      <c r="E24" s="485">
        <f>E23*1000/E9</f>
        <v>1700.8318297017772</v>
      </c>
      <c r="F24" s="447">
        <f>F23*1000/F9</f>
        <v>1257.3689995560474</v>
      </c>
      <c r="G24" s="447">
        <f>G23*1000/G9</f>
        <v>1272.6142429719014</v>
      </c>
      <c r="H24" s="486">
        <f>+H23/H9*1000</f>
        <v>1451.590823832305</v>
      </c>
      <c r="J24" s="485">
        <f>J23*1000/J9</f>
        <v>1689.3007905472089</v>
      </c>
      <c r="K24" s="447">
        <f>K23*1000/K9</f>
        <v>655.29391682093944</v>
      </c>
      <c r="L24" s="486">
        <f>+L23/L9*1000</f>
        <v>1506.8289893013964</v>
      </c>
      <c r="N24" s="485">
        <f>N23*1000/N9</f>
        <v>1847.8448108279561</v>
      </c>
      <c r="O24" s="515"/>
      <c r="P24" s="447">
        <f>P23*1000/P9</f>
        <v>1431.4006503576734</v>
      </c>
      <c r="Q24" s="506"/>
      <c r="R24" s="501">
        <f>+R23/R9*1000</f>
        <v>1487.7088036692528</v>
      </c>
    </row>
    <row r="25" spans="2:18" x14ac:dyDescent="0.35">
      <c r="B25" t="s">
        <v>251</v>
      </c>
      <c r="C25" s="224" t="s">
        <v>5</v>
      </c>
      <c r="E25" s="470">
        <f>E24/E16*100</f>
        <v>18.28851429786857</v>
      </c>
      <c r="F25" s="471">
        <f>F24/F16*100</f>
        <v>14.263646877621014</v>
      </c>
      <c r="G25" s="471">
        <f>G24/G16*100</f>
        <v>14.798244911298752</v>
      </c>
      <c r="H25" s="472">
        <f>H24/H16*100</f>
        <v>16.230544387059854</v>
      </c>
      <c r="I25" s="473"/>
      <c r="J25" s="470">
        <f>J24/J16*100</f>
        <v>18.16452462953988</v>
      </c>
      <c r="K25" s="471">
        <f>K24/K16*100</f>
        <v>7.6365681950931057</v>
      </c>
      <c r="L25" s="472">
        <f>L24/L16*100</f>
        <v>16.426574336856248</v>
      </c>
      <c r="M25" s="473"/>
      <c r="N25" s="470">
        <f>N24/N16*100</f>
        <v>19.869299041160819</v>
      </c>
      <c r="O25" s="516"/>
      <c r="P25" s="471">
        <f>P24/P16*100</f>
        <v>15.391404842555628</v>
      </c>
      <c r="Q25" s="475"/>
      <c r="R25" s="476">
        <f>R24/R16*100</f>
        <v>16.393678989810613</v>
      </c>
    </row>
    <row r="26" spans="2:18" x14ac:dyDescent="0.35">
      <c r="E26" s="409"/>
      <c r="H26" s="434"/>
      <c r="J26" s="409"/>
      <c r="L26" s="434"/>
      <c r="N26" s="409"/>
      <c r="O26" s="510"/>
      <c r="Q26" s="424"/>
      <c r="R26" s="420"/>
    </row>
    <row r="27" spans="2:18" x14ac:dyDescent="0.35">
      <c r="B27" t="s">
        <v>340</v>
      </c>
      <c r="E27" s="409"/>
      <c r="H27" s="434"/>
      <c r="J27" s="409"/>
      <c r="L27" s="434"/>
      <c r="N27" s="409"/>
      <c r="O27" s="510"/>
      <c r="Q27" s="424"/>
      <c r="R27" s="420"/>
    </row>
    <row r="28" spans="2:18" x14ac:dyDescent="0.35">
      <c r="B28" t="s">
        <v>20</v>
      </c>
      <c r="C28" s="224" t="s">
        <v>344</v>
      </c>
      <c r="E28" s="409"/>
      <c r="H28" s="434"/>
      <c r="J28" s="409"/>
      <c r="L28" s="434"/>
      <c r="N28" s="425">
        <f>0.17*C4*12</f>
        <v>33.048000000000002</v>
      </c>
      <c r="O28" s="510"/>
      <c r="Q28" s="424"/>
      <c r="R28" s="461">
        <f>+N28</f>
        <v>33.048000000000002</v>
      </c>
    </row>
    <row r="29" spans="2:18" x14ac:dyDescent="0.35">
      <c r="B29" t="s">
        <v>310</v>
      </c>
      <c r="C29" s="224" t="s">
        <v>344</v>
      </c>
      <c r="E29" s="409"/>
      <c r="H29" s="434"/>
      <c r="J29" s="409"/>
      <c r="L29" s="434"/>
      <c r="N29" s="409"/>
      <c r="O29" s="510"/>
      <c r="Q29" s="424"/>
      <c r="R29" s="420"/>
    </row>
    <row r="30" spans="2:18" x14ac:dyDescent="0.35">
      <c r="E30" s="409"/>
      <c r="H30" s="434"/>
      <c r="J30" s="409"/>
      <c r="L30" s="434"/>
      <c r="N30" s="409"/>
      <c r="O30" s="510"/>
      <c r="Q30" s="424"/>
      <c r="R30" s="420"/>
    </row>
    <row r="31" spans="2:18" x14ac:dyDescent="0.35">
      <c r="B31" t="s">
        <v>266</v>
      </c>
      <c r="C31" s="224" t="s">
        <v>344</v>
      </c>
      <c r="E31" s="425">
        <f>+'Fixed Cost'!D46*C4*12</f>
        <v>482.59799999999996</v>
      </c>
      <c r="F31" s="230">
        <f>+'Fixed Cost'!D54*C4*12</f>
        <v>482.59799999999996</v>
      </c>
      <c r="G31" s="230">
        <f>+'Fixed Cost'!D62*C4*12</f>
        <v>965.19599999999991</v>
      </c>
      <c r="H31" s="437">
        <f>SUM(E31:G31)</f>
        <v>1930.3919999999998</v>
      </c>
      <c r="J31" s="425">
        <f>+'Fixed Cost'!E46*C4*12</f>
        <v>344.08799999999997</v>
      </c>
      <c r="K31" s="230">
        <f>+'Fixed Cost'!E62*C4*12</f>
        <v>344.08799999999997</v>
      </c>
      <c r="L31" s="437">
        <f>SUM(I31:K31)</f>
        <v>688.17599999999993</v>
      </c>
      <c r="N31" s="425">
        <f>+'Fixed Cost'!F7*C4*12</f>
        <v>227.44799999999998</v>
      </c>
      <c r="O31" s="511"/>
      <c r="P31" s="230">
        <f>+'Fixed Cost'!G46*C4*12</f>
        <v>476.28</v>
      </c>
      <c r="Q31" s="424"/>
      <c r="R31" s="421">
        <f>+P31+L31+H31+N31</f>
        <v>3322.2959999999998</v>
      </c>
    </row>
    <row r="32" spans="2:18" x14ac:dyDescent="0.35">
      <c r="B32" t="s">
        <v>267</v>
      </c>
      <c r="C32" s="224" t="s">
        <v>344</v>
      </c>
      <c r="E32" s="425">
        <f>+'Fixed Cost'!D47*C4*12</f>
        <v>177.876</v>
      </c>
      <c r="F32" s="230">
        <f>+'Fixed Cost'!D55*C4*12</f>
        <v>177.876</v>
      </c>
      <c r="G32" s="230">
        <f>+'Fixed Cost'!D63*C4*12</f>
        <v>355.75200000000001</v>
      </c>
      <c r="H32" s="437">
        <f>SUM(E32:G32)</f>
        <v>711.50400000000002</v>
      </c>
      <c r="J32" s="425">
        <f>+'Fixed Cost'!E47*C4*12</f>
        <v>25.271999999999998</v>
      </c>
      <c r="K32" s="230">
        <f>+'Fixed Cost'!E63*C4*12</f>
        <v>25.271999999999998</v>
      </c>
      <c r="L32" s="437">
        <f>SUM(I32:K32)</f>
        <v>50.543999999999997</v>
      </c>
      <c r="N32" s="425">
        <f>+'Fixed Cost'!F8*C4*12</f>
        <v>163.29599999999999</v>
      </c>
      <c r="O32" s="511"/>
      <c r="P32" s="230">
        <f>+'Fixed Cost'!G47*C4*12</f>
        <v>462.67199999999997</v>
      </c>
      <c r="Q32" s="424"/>
      <c r="R32" s="421">
        <f>+P32+L32+H32+N32</f>
        <v>1388.0160000000001</v>
      </c>
    </row>
    <row r="33" spans="2:21" ht="12.75" customHeight="1" x14ac:dyDescent="0.35">
      <c r="B33" t="s">
        <v>298</v>
      </c>
      <c r="C33" s="224" t="s">
        <v>344</v>
      </c>
      <c r="E33" s="425">
        <f>+'Fixed Cost'!D48*C4*12</f>
        <v>339.714</v>
      </c>
      <c r="F33" s="230">
        <f>+'Fixed Cost'!D56*C4*12</f>
        <v>339.714</v>
      </c>
      <c r="G33" s="230">
        <f>+'Fixed Cost'!D64*C4*12</f>
        <v>679.428</v>
      </c>
      <c r="H33" s="437">
        <f>SUM(E33:G33)</f>
        <v>1358.856</v>
      </c>
      <c r="I33" s="396"/>
      <c r="J33" s="425">
        <f>+'Fixed Cost'!E48*C4*12</f>
        <v>235.22399999999999</v>
      </c>
      <c r="K33" s="230">
        <f>+'Fixed Cost'!E64*C4*12</f>
        <v>235.22399999999999</v>
      </c>
      <c r="L33" s="437">
        <f>SUM(I33:K33)</f>
        <v>470.44799999999998</v>
      </c>
      <c r="N33" s="425">
        <f>+'Fixed Cost'!F9*C4*12</f>
        <v>878.68799999999987</v>
      </c>
      <c r="O33" s="511"/>
      <c r="P33" s="230">
        <f>+'Fixed Cost'!G48*C4*12</f>
        <v>1005.0479999999999</v>
      </c>
      <c r="Q33" s="424"/>
      <c r="R33" s="421">
        <f>+P33+L33+H33+N33</f>
        <v>3713.04</v>
      </c>
      <c r="S33" s="691">
        <f>R33/R9</f>
        <v>0.73671428571428565</v>
      </c>
    </row>
    <row r="34" spans="2:21" s="445" customFormat="1" ht="25.5" customHeight="1" x14ac:dyDescent="0.35">
      <c r="B34" s="445" t="s">
        <v>332</v>
      </c>
      <c r="C34" s="413" t="s">
        <v>344</v>
      </c>
      <c r="E34" s="491">
        <f>SUM(E31:E33)</f>
        <v>1000.1879999999999</v>
      </c>
      <c r="F34" s="536">
        <f>SUM(F31:F33)</f>
        <v>1000.1879999999999</v>
      </c>
      <c r="G34" s="536">
        <f>SUM(G31:G33)</f>
        <v>2000.3759999999997</v>
      </c>
      <c r="H34" s="537">
        <f>SUM(E34:G34)</f>
        <v>4000.7519999999995</v>
      </c>
      <c r="I34" s="538"/>
      <c r="J34" s="491">
        <f>SUM(J31:J33)</f>
        <v>604.58399999999995</v>
      </c>
      <c r="K34" s="536">
        <f>SUM(K31:K33)</f>
        <v>604.58399999999995</v>
      </c>
      <c r="L34" s="537">
        <f>SUM(I34:K34)</f>
        <v>1209.1679999999999</v>
      </c>
      <c r="M34" s="538"/>
      <c r="N34" s="491">
        <f>SUM(N31:N33)</f>
        <v>1269.4319999999998</v>
      </c>
      <c r="O34" s="539"/>
      <c r="P34" s="536">
        <f>SUM(P31:P33)</f>
        <v>1944</v>
      </c>
      <c r="Q34" s="540"/>
      <c r="R34" s="541">
        <f>+P34+L34+H34+N34</f>
        <v>8423.351999999999</v>
      </c>
      <c r="T34" s="465"/>
      <c r="U34" s="466"/>
    </row>
    <row r="35" spans="2:21" x14ac:dyDescent="0.35">
      <c r="E35" s="409"/>
      <c r="H35" s="434"/>
      <c r="J35" s="409"/>
      <c r="L35" s="434"/>
      <c r="N35" s="409"/>
      <c r="O35" s="510"/>
      <c r="Q35" s="424"/>
      <c r="R35" s="461"/>
    </row>
    <row r="36" spans="2:21" x14ac:dyDescent="0.35">
      <c r="B36" t="s">
        <v>331</v>
      </c>
      <c r="C36" s="224" t="s">
        <v>344</v>
      </c>
      <c r="E36" s="495">
        <f>E23-E34</f>
        <v>1040.8101956421326</v>
      </c>
      <c r="F36" s="381">
        <f>F23-F34</f>
        <v>-245.76660026637148</v>
      </c>
      <c r="G36" s="381">
        <f>G23-G34</f>
        <v>-702.30947216866025</v>
      </c>
      <c r="H36" s="450">
        <f>SUM(E36:G36)</f>
        <v>92.734123207100879</v>
      </c>
      <c r="J36" s="425">
        <f>J23-J34</f>
        <v>814.42866405965549</v>
      </c>
      <c r="K36" s="230">
        <f>K23-K34</f>
        <v>-486.63109497223081</v>
      </c>
      <c r="L36" s="437">
        <f>SUM(I36:K36)</f>
        <v>327.79756908742468</v>
      </c>
      <c r="N36" s="425">
        <f>N23+N28-N34</f>
        <v>-571.15986810193567</v>
      </c>
      <c r="O36" s="511"/>
      <c r="P36" s="230">
        <f>P23-P34</f>
        <v>-741.62345369955437</v>
      </c>
      <c r="Q36" s="508"/>
      <c r="R36" s="461">
        <f>+P36+L36+H36+N36</f>
        <v>-892.25162950696449</v>
      </c>
    </row>
    <row r="37" spans="2:21" s="428" customFormat="1" ht="13" x14ac:dyDescent="0.3">
      <c r="B37" s="428" t="s">
        <v>330</v>
      </c>
      <c r="C37" s="429" t="s">
        <v>345</v>
      </c>
      <c r="E37" s="485">
        <f>+E36/E9*1000</f>
        <v>867.34182970177721</v>
      </c>
      <c r="F37" s="447">
        <f>+F36/F9*1000</f>
        <v>-409.61100044395249</v>
      </c>
      <c r="G37" s="447">
        <f>+G36/G9*1000</f>
        <v>-688.53869820456896</v>
      </c>
      <c r="H37" s="486">
        <f>+H36/H9*1000</f>
        <v>32.884440853581872</v>
      </c>
      <c r="I37" s="509"/>
      <c r="J37" s="485">
        <f>+J36/J9*1000</f>
        <v>969.55793340435184</v>
      </c>
      <c r="K37" s="447">
        <f>+K36/K9*1000</f>
        <v>-2703.5060831790602</v>
      </c>
      <c r="L37" s="486">
        <f>+L36/L9*1000</f>
        <v>321.37016577198494</v>
      </c>
      <c r="M37" s="509"/>
      <c r="N37" s="485">
        <f>+N36/N9*1000</f>
        <v>-1586.5551891720436</v>
      </c>
      <c r="O37" s="515"/>
      <c r="P37" s="447">
        <f>+P36/P9*1000</f>
        <v>-882.88506392804084</v>
      </c>
      <c r="Q37" s="506"/>
      <c r="R37" s="501">
        <f>+R36/R9*1000</f>
        <v>-177.03405347360408</v>
      </c>
    </row>
    <row r="38" spans="2:21" x14ac:dyDescent="0.35">
      <c r="B38" t="s">
        <v>251</v>
      </c>
      <c r="C38" s="224" t="s">
        <v>5</v>
      </c>
      <c r="E38" s="425">
        <f>E37/E16*100</f>
        <v>9.3262562333524439</v>
      </c>
      <c r="F38" s="230">
        <f>F37/F16*100</f>
        <v>-4.646644437380349</v>
      </c>
      <c r="G38" s="230">
        <f>G37/G16*100</f>
        <v>-8.0064829882333797</v>
      </c>
      <c r="H38" s="437">
        <f>H37/H16*100</f>
        <v>0.36768789672327418</v>
      </c>
      <c r="J38" s="425">
        <f>J37/J16*100</f>
        <v>10.425354122627439</v>
      </c>
      <c r="K38" s="230">
        <f>K37/K16*100</f>
        <v>-31.505722913169333</v>
      </c>
      <c r="L38" s="437">
        <f>L37/L16*100</f>
        <v>3.5033908659726594</v>
      </c>
      <c r="N38" s="425">
        <f>N37/N16*100</f>
        <v>-17.059733216903695</v>
      </c>
      <c r="O38" s="510"/>
      <c r="P38" s="230">
        <f>P37/P16*100</f>
        <v>-9.4933877841724819</v>
      </c>
      <c r="Q38" s="424"/>
      <c r="R38" s="507">
        <f>R37/R16*100</f>
        <v>-1.9508115000416826</v>
      </c>
    </row>
    <row r="39" spans="2:21" x14ac:dyDescent="0.35">
      <c r="E39" s="409"/>
      <c r="H39" s="434"/>
      <c r="J39" s="409"/>
      <c r="L39" s="434"/>
      <c r="N39" s="409"/>
      <c r="O39" s="510"/>
      <c r="P39" s="225"/>
      <c r="Q39" s="424"/>
      <c r="R39" s="420"/>
    </row>
    <row r="40" spans="2:21" x14ac:dyDescent="0.35">
      <c r="B40" t="s">
        <v>269</v>
      </c>
      <c r="C40" s="224" t="s">
        <v>344</v>
      </c>
      <c r="E40" s="495">
        <f>'Fixed Cost'!D49*C4*12</f>
        <v>116.15400000000001</v>
      </c>
      <c r="F40" s="381">
        <f>+'Fixed Cost'!D57*C4*12</f>
        <v>116.15400000000001</v>
      </c>
      <c r="G40" s="381">
        <f>+'Fixed Cost'!D65*C4*12</f>
        <v>232.30800000000002</v>
      </c>
      <c r="H40" s="450">
        <f>SUM(E40:G40)</f>
        <v>464.61600000000004</v>
      </c>
      <c r="I40" s="532"/>
      <c r="J40" s="495">
        <f>+'Fixed Cost'!E49*C4*12</f>
        <v>244.94399999999999</v>
      </c>
      <c r="K40" s="381">
        <f>+'Fixed Cost'!E65*C4*12</f>
        <v>244.94399999999999</v>
      </c>
      <c r="L40" s="450">
        <f>SUM(J40:K40)</f>
        <v>489.88799999999998</v>
      </c>
      <c r="M40" s="532"/>
      <c r="N40" s="495">
        <f>+'Fixed Cost'!F11*C4*12</f>
        <v>241.05599999999998</v>
      </c>
      <c r="O40" s="534"/>
      <c r="P40" s="381">
        <f>+'Fixed Cost'!G11*C4*12</f>
        <v>25.271999999999998</v>
      </c>
      <c r="Q40" s="542"/>
      <c r="R40" s="421">
        <f>+P40+L40+H40+N40</f>
        <v>1220.8320000000001</v>
      </c>
    </row>
    <row r="41" spans="2:21" s="428" customFormat="1" ht="13" x14ac:dyDescent="0.3">
      <c r="B41" s="428" t="s">
        <v>352</v>
      </c>
      <c r="C41" s="429" t="s">
        <v>186</v>
      </c>
      <c r="E41" s="485">
        <f>(+E40+E34)/E9*1000</f>
        <v>930.28499999999997</v>
      </c>
      <c r="F41" s="447">
        <f>(+F40+F34)/F9*1000</f>
        <v>1860.57</v>
      </c>
      <c r="G41" s="447">
        <f>(+G40+G34)/G9*1000</f>
        <v>2188.9058823529413</v>
      </c>
      <c r="H41" s="486">
        <f>(H34+H40)*1000/H9</f>
        <v>1583.4638297872336</v>
      </c>
      <c r="I41" s="509"/>
      <c r="J41" s="485">
        <f>(+J40+J34)/J9*1000</f>
        <v>1011.3428571428572</v>
      </c>
      <c r="K41" s="447">
        <f>(+K40+K34)/K9*1000</f>
        <v>4719.5999999999995</v>
      </c>
      <c r="L41" s="486">
        <f>(L34+L40)*1000/L9</f>
        <v>1665.741176470588</v>
      </c>
      <c r="M41" s="509"/>
      <c r="N41" s="546">
        <f>(+N40+N34)/N9*1000</f>
        <v>4195.7999999999993</v>
      </c>
      <c r="O41" s="447"/>
      <c r="P41" s="486">
        <f>(+P40+P34)/P9*1000</f>
        <v>2344.3714285714282</v>
      </c>
      <c r="Q41" s="506"/>
      <c r="R41" s="501">
        <f>(R34+R40)*1000/R9</f>
        <v>1913.5285714285715</v>
      </c>
    </row>
    <row r="42" spans="2:21" x14ac:dyDescent="0.35">
      <c r="E42" s="409"/>
      <c r="H42" s="434"/>
      <c r="J42" s="409"/>
      <c r="L42" s="434"/>
      <c r="N42" s="409"/>
      <c r="O42" s="510"/>
      <c r="P42" s="225"/>
      <c r="Q42" s="424"/>
      <c r="R42" s="420"/>
    </row>
    <row r="43" spans="2:21" s="445" customFormat="1" ht="25.5" customHeight="1" x14ac:dyDescent="0.35">
      <c r="B43" s="445" t="s">
        <v>329</v>
      </c>
      <c r="C43" s="413" t="s">
        <v>344</v>
      </c>
      <c r="E43" s="491">
        <f>+E36-E40</f>
        <v>924.65619564213262</v>
      </c>
      <c r="F43" s="536">
        <f>+F36-F40</f>
        <v>-361.92060026637148</v>
      </c>
      <c r="G43" s="536">
        <f>+G36-G40</f>
        <v>-934.61747216866024</v>
      </c>
      <c r="H43" s="537">
        <f>SUM(E43:G43)</f>
        <v>-371.88187679289911</v>
      </c>
      <c r="I43" s="538"/>
      <c r="J43" s="491">
        <f>+J36-J40</f>
        <v>569.48466405965553</v>
      </c>
      <c r="K43" s="536">
        <f>+K36-K40</f>
        <v>-731.57509497223077</v>
      </c>
      <c r="L43" s="537">
        <f>SUM(I43:K43)</f>
        <v>-162.09043091257524</v>
      </c>
      <c r="M43" s="538"/>
      <c r="N43" s="491">
        <f>+N36-N40</f>
        <v>-812.21586810193571</v>
      </c>
      <c r="O43" s="539"/>
      <c r="P43" s="536">
        <f>+P36-P40</f>
        <v>-766.89545369955442</v>
      </c>
      <c r="Q43" s="540"/>
      <c r="R43" s="541">
        <f>+P43+L43+H43+N43</f>
        <v>-2113.0836295069648</v>
      </c>
    </row>
    <row r="44" spans="2:21" s="428" customFormat="1" ht="13" x14ac:dyDescent="0.3">
      <c r="B44" s="428" t="s">
        <v>341</v>
      </c>
      <c r="C44" s="429" t="s">
        <v>345</v>
      </c>
      <c r="E44" s="430">
        <f>+E43/E9*1000</f>
        <v>770.54682970177714</v>
      </c>
      <c r="F44" s="436">
        <f>+F43/F9*1000</f>
        <v>-603.20100044395247</v>
      </c>
      <c r="G44" s="436">
        <f>+G43/G9*1000</f>
        <v>-916.29163938103943</v>
      </c>
      <c r="H44" s="438">
        <f>+H43/H9*1000</f>
        <v>-131.87300595492877</v>
      </c>
      <c r="J44" s="485">
        <f>+J43/J9*1000</f>
        <v>677.95793340435182</v>
      </c>
      <c r="K44" s="447">
        <f>+K43/K9*1000</f>
        <v>-4064.3060831790604</v>
      </c>
      <c r="L44" s="486">
        <f>+L43/L9*1000</f>
        <v>-158.91218716919141</v>
      </c>
      <c r="N44" s="485">
        <f>+N43/N9*1000</f>
        <v>-2256.1551891720437</v>
      </c>
      <c r="O44" s="515"/>
      <c r="P44" s="447">
        <f>+P43/P9*1000</f>
        <v>-912.97077821375524</v>
      </c>
      <c r="Q44" s="506"/>
      <c r="R44" s="501">
        <f>+R43/R9*1000</f>
        <v>-419.26262490217556</v>
      </c>
    </row>
    <row r="45" spans="2:21" ht="15" thickBot="1" x14ac:dyDescent="0.4">
      <c r="B45" t="s">
        <v>251</v>
      </c>
      <c r="C45" s="224" t="s">
        <v>5</v>
      </c>
      <c r="E45" s="477">
        <f>+E44/E16*100</f>
        <v>8.2854497817395387</v>
      </c>
      <c r="F45" s="392">
        <f>+F44/F16*100</f>
        <v>-6.8427375492779801</v>
      </c>
      <c r="G45" s="392">
        <f>+G44/G16*100</f>
        <v>-10.654845460530842</v>
      </c>
      <c r="H45" s="496">
        <f>+H44/H16*100</f>
        <v>-1.4745000047298082</v>
      </c>
      <c r="J45" s="478">
        <f>+J44/J16*100</f>
        <v>7.2898702516596972</v>
      </c>
      <c r="K45" s="497">
        <f>+K44/K16*100</f>
        <v>-47.364014487577911</v>
      </c>
      <c r="L45" s="498">
        <f>+L44/L16*100</f>
        <v>-1.7323683537422352</v>
      </c>
      <c r="N45" s="478">
        <f>+N44/N16*100</f>
        <v>-24.259733216903694</v>
      </c>
      <c r="O45" s="517"/>
      <c r="P45" s="497">
        <f>+P44/P16*100</f>
        <v>-9.8168900883199495</v>
      </c>
      <c r="Q45" s="424"/>
      <c r="R45" s="462">
        <f>+R44/R16*100</f>
        <v>-4.6200283739126853</v>
      </c>
    </row>
    <row r="46" spans="2:21" ht="15" thickTop="1" x14ac:dyDescent="0.35">
      <c r="E46" s="225"/>
      <c r="F46" s="225"/>
      <c r="G46" s="225"/>
      <c r="H46" s="225"/>
      <c r="J46" s="225"/>
      <c r="K46" s="225"/>
      <c r="L46" s="225"/>
      <c r="N46" s="230"/>
      <c r="P46" s="230"/>
      <c r="R46" s="230"/>
    </row>
    <row r="47" spans="2:21" x14ac:dyDescent="0.35">
      <c r="B47" t="s">
        <v>391</v>
      </c>
      <c r="C47" s="563" t="s">
        <v>186</v>
      </c>
      <c r="E47" s="564">
        <f>E19+E41</f>
        <v>8529.453170298224</v>
      </c>
      <c r="F47" s="565">
        <f>F19+F41</f>
        <v>9353.601000443954</v>
      </c>
      <c r="G47" s="565">
        <f>G19+G41</f>
        <v>9363.5857570280987</v>
      </c>
      <c r="H47" s="566">
        <f>H19+H41</f>
        <v>9006.5113038272684</v>
      </c>
      <c r="J47" s="564">
        <f>J19+J41</f>
        <v>8622.0420665956481</v>
      </c>
      <c r="K47" s="565">
        <f>K19+K41</f>
        <v>12483.306083179059</v>
      </c>
      <c r="L47" s="566">
        <f>L19+L41</f>
        <v>9303.4415989338977</v>
      </c>
      <c r="N47" s="564">
        <f>N19+N41</f>
        <v>11647.955189172044</v>
      </c>
      <c r="O47" s="346"/>
      <c r="P47" s="566">
        <f>P19+P41</f>
        <v>10212.970778213754</v>
      </c>
      <c r="R47" s="567">
        <f>R19+R41</f>
        <v>9456.3554820450317</v>
      </c>
    </row>
    <row r="48" spans="2:21" s="473" customFormat="1" ht="15" thickBot="1" x14ac:dyDescent="0.4">
      <c r="B48" s="473" t="s">
        <v>392</v>
      </c>
      <c r="C48" s="474" t="s">
        <v>393</v>
      </c>
      <c r="E48" s="568">
        <f>(E34+E40)/(E16-E19)*1000</f>
        <v>656.35060474834768</v>
      </c>
      <c r="F48" s="569">
        <f>(F34+F40)/(F16-F19)*1000</f>
        <v>844.32625509661955</v>
      </c>
      <c r="G48" s="569">
        <f>(G34+G40)/(G16-G19)*1000</f>
        <v>1566.7025226201329</v>
      </c>
      <c r="H48" s="570">
        <f>(H34+H40)/(H16-H19)*1000</f>
        <v>2936.7239236711912</v>
      </c>
      <c r="I48" s="571"/>
      <c r="J48" s="568">
        <f>(J34+J40)/(J16-J19)*1000</f>
        <v>502.88735123649298</v>
      </c>
      <c r="K48" s="569">
        <f>(K34+K40)/(K16-K19)*1000</f>
        <v>1039.4400135809667</v>
      </c>
      <c r="L48" s="570">
        <f>(L34+L40)/(L16-L19)*1000</f>
        <v>1106.576097221779</v>
      </c>
      <c r="M48" s="571"/>
      <c r="N48" s="568">
        <f>(N34+N40)/(N16-N19)*1000</f>
        <v>817.43228173106286</v>
      </c>
      <c r="O48" s="569"/>
      <c r="P48" s="570">
        <f>(P34+P40)/(P16-P19)*1000</f>
        <v>1375.7657574823127</v>
      </c>
      <c r="Q48" s="572"/>
      <c r="R48" s="573">
        <f>(R34+R40)/(R16-R19)*1000</f>
        <v>6294.8882989442764</v>
      </c>
    </row>
    <row r="49" spans="8:9" ht="15" thickTop="1" x14ac:dyDescent="0.35"/>
    <row r="50" spans="8:9" x14ac:dyDescent="0.35">
      <c r="H50" s="376">
        <f>+'P&amp;L $ Annual'!H50+1</f>
        <v>12</v>
      </c>
      <c r="I50" s="377" t="s">
        <v>388</v>
      </c>
    </row>
  </sheetData>
  <mergeCells count="3">
    <mergeCell ref="B2:R2"/>
    <mergeCell ref="E4:H4"/>
    <mergeCell ref="J4:L4"/>
  </mergeCells>
  <pageMargins left="0.7" right="0.7" top="0.75" bottom="0.75" header="0.3" footer="0.3"/>
  <pageSetup scale="66" orientation="landscape" horizontalDpi="4294967295" verticalDpi="4294967295" r:id="rId1"/>
  <headerFooter>
    <oddFooter>&amp;C&amp;1#&amp;"Calibri"&amp;10&amp;K737373EZDK Business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1:R42"/>
  <sheetViews>
    <sheetView showGridLines="0" workbookViewId="0"/>
  </sheetViews>
  <sheetFormatPr defaultRowHeight="14.5" x14ac:dyDescent="0.35"/>
  <cols>
    <col min="2" max="2" width="29.7265625" bestFit="1" customWidth="1"/>
    <col min="3" max="3" width="9.1796875" style="224"/>
    <col min="5" max="5" width="10.54296875" style="224" customWidth="1"/>
    <col min="6" max="6" width="8.7265625" style="224" customWidth="1"/>
    <col min="7" max="7" width="9" style="224" customWidth="1"/>
    <col min="8" max="8" width="10" style="224" bestFit="1" customWidth="1"/>
    <col min="9" max="9" width="6.453125" customWidth="1"/>
    <col min="10" max="12" width="9.1796875" style="224"/>
    <col min="13" max="13" width="6.54296875" customWidth="1"/>
    <col min="14" max="14" width="9.1796875" style="224"/>
    <col min="15" max="15" width="2.453125" style="224" customWidth="1"/>
    <col min="16" max="16" width="9.1796875" style="224"/>
    <col min="17" max="17" width="3.453125" style="224" customWidth="1"/>
    <col min="18" max="18" width="9.1796875" style="224"/>
  </cols>
  <sheetData>
    <row r="1" spans="2:18" ht="15" thickBot="1" x14ac:dyDescent="0.4"/>
    <row r="2" spans="2:18" ht="19" thickBot="1" x14ac:dyDescent="0.5">
      <c r="B2" s="812" t="s">
        <v>337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4"/>
    </row>
    <row r="4" spans="2:18" s="412" customFormat="1" ht="15.5" x14ac:dyDescent="0.35">
      <c r="C4" s="413"/>
      <c r="E4" s="809" t="s">
        <v>177</v>
      </c>
      <c r="F4" s="810"/>
      <c r="G4" s="810"/>
      <c r="H4" s="811"/>
      <c r="J4" s="809" t="s">
        <v>198</v>
      </c>
      <c r="K4" s="810"/>
      <c r="L4" s="811"/>
      <c r="N4" s="415" t="s">
        <v>179</v>
      </c>
      <c r="O4" s="416"/>
      <c r="P4" s="416" t="s">
        <v>199</v>
      </c>
      <c r="Q4" s="422"/>
      <c r="R4" s="418" t="s">
        <v>300</v>
      </c>
    </row>
    <row r="5" spans="2:18" s="364" customFormat="1" x14ac:dyDescent="0.35">
      <c r="B5" s="364" t="s">
        <v>230</v>
      </c>
      <c r="C5" s="384" t="s">
        <v>178</v>
      </c>
      <c r="E5" s="414" t="s">
        <v>285</v>
      </c>
      <c r="F5" s="384" t="s">
        <v>286</v>
      </c>
      <c r="G5" s="384" t="s">
        <v>287</v>
      </c>
      <c r="H5" s="435" t="s">
        <v>334</v>
      </c>
      <c r="J5" s="414" t="s">
        <v>285</v>
      </c>
      <c r="K5" s="384" t="s">
        <v>287</v>
      </c>
      <c r="L5" s="435" t="s">
        <v>334</v>
      </c>
      <c r="N5" s="414" t="s">
        <v>285</v>
      </c>
      <c r="O5" s="384"/>
      <c r="P5" s="384" t="s">
        <v>285</v>
      </c>
      <c r="Q5" s="423"/>
      <c r="R5" s="419"/>
    </row>
    <row r="6" spans="2:18" x14ac:dyDescent="0.35">
      <c r="E6" s="409"/>
      <c r="H6" s="434"/>
      <c r="J6" s="409"/>
      <c r="L6" s="434"/>
      <c r="N6" s="409"/>
      <c r="Q6" s="424"/>
      <c r="R6" s="420"/>
    </row>
    <row r="7" spans="2:18" x14ac:dyDescent="0.35">
      <c r="B7" t="s">
        <v>101</v>
      </c>
      <c r="C7" s="224" t="s">
        <v>289</v>
      </c>
      <c r="E7" s="409">
        <f>+'Market Share'!E6</f>
        <v>100</v>
      </c>
      <c r="F7" s="224">
        <f>+'Market Share'!F6</f>
        <v>40</v>
      </c>
      <c r="G7" s="224">
        <v>40</v>
      </c>
      <c r="H7" s="434">
        <f>SUM(E7:G7)</f>
        <v>180</v>
      </c>
      <c r="I7" s="224"/>
      <c r="J7" s="409">
        <f>+'Market Share'!E7</f>
        <v>70</v>
      </c>
      <c r="K7" s="224">
        <f>+'Market Share'!G7</f>
        <v>7.5</v>
      </c>
      <c r="L7" s="450">
        <f>SUM(J7:K7)</f>
        <v>77.5</v>
      </c>
      <c r="N7" s="410">
        <f>+'Market Share'!F8</f>
        <v>0</v>
      </c>
      <c r="P7" s="224">
        <f>+'Market Share'!E9</f>
        <v>70</v>
      </c>
      <c r="Q7" s="424"/>
      <c r="R7" s="421">
        <f>+P7+L7+H7+N7</f>
        <v>327.5</v>
      </c>
    </row>
    <row r="8" spans="2:18" x14ac:dyDescent="0.35">
      <c r="B8" t="s">
        <v>100</v>
      </c>
      <c r="C8" s="224" t="s">
        <v>289</v>
      </c>
      <c r="E8" s="410">
        <f>+'Market Share'!E19</f>
        <v>0</v>
      </c>
      <c r="F8" s="224">
        <f>+'Market Share'!F19</f>
        <v>10</v>
      </c>
      <c r="G8" s="224">
        <v>40</v>
      </c>
      <c r="H8" s="434">
        <f>SUM(E8:G8)</f>
        <v>50</v>
      </c>
      <c r="I8" s="224"/>
      <c r="J8" s="410">
        <f>+'Market Share'!E20</f>
        <v>0</v>
      </c>
      <c r="K8" s="224">
        <f>+'Market Share'!G20</f>
        <v>7.5</v>
      </c>
      <c r="L8" s="450">
        <f>SUM(J8:K8)</f>
        <v>7.5</v>
      </c>
      <c r="N8" s="410">
        <v>0</v>
      </c>
      <c r="P8" s="411">
        <v>0</v>
      </c>
      <c r="Q8" s="424"/>
      <c r="R8" s="421">
        <f>+P8+L8+H8+N8</f>
        <v>57.5</v>
      </c>
    </row>
    <row r="9" spans="2:18" x14ac:dyDescent="0.35">
      <c r="B9" t="s">
        <v>288</v>
      </c>
      <c r="C9" s="224" t="s">
        <v>289</v>
      </c>
      <c r="E9" s="409">
        <f>SUM(E7:E8)</f>
        <v>100</v>
      </c>
      <c r="F9" s="224">
        <f>SUM(F7:F8)</f>
        <v>50</v>
      </c>
      <c r="G9" s="224">
        <f>SUM(G7:G8)</f>
        <v>80</v>
      </c>
      <c r="H9" s="434">
        <f>SUM(H7:H8)</f>
        <v>230</v>
      </c>
      <c r="I9" s="224"/>
      <c r="J9" s="409">
        <f>SUM(J7:J8)</f>
        <v>70</v>
      </c>
      <c r="K9" s="224">
        <f>SUM(K7:K8)</f>
        <v>15</v>
      </c>
      <c r="L9" s="450">
        <f>SUM(L7:L8)</f>
        <v>85</v>
      </c>
      <c r="N9" s="410">
        <f>SUM(N7:N8)</f>
        <v>0</v>
      </c>
      <c r="P9" s="224">
        <f>SUM(P7:P8)</f>
        <v>70</v>
      </c>
      <c r="Q9" s="424"/>
      <c r="R9" s="421">
        <f>+P9+L9+H9+N9</f>
        <v>385</v>
      </c>
    </row>
    <row r="10" spans="2:18" x14ac:dyDescent="0.35">
      <c r="E10" s="409"/>
      <c r="H10" s="434"/>
      <c r="J10" s="409"/>
      <c r="L10" s="434"/>
      <c r="N10" s="409"/>
      <c r="Q10" s="424"/>
      <c r="R10" s="420"/>
    </row>
    <row r="11" spans="2:18" x14ac:dyDescent="0.35">
      <c r="B11" t="s">
        <v>319</v>
      </c>
      <c r="C11" s="224" t="s">
        <v>333</v>
      </c>
      <c r="E11" s="426">
        <f>+E12*E7/1000</f>
        <v>57.407407407407419</v>
      </c>
      <c r="F11" s="225">
        <f>F12*F7/1000</f>
        <v>22.407407407407408</v>
      </c>
      <c r="G11" s="225">
        <f>G12*G7/1000</f>
        <v>21.975308641975314</v>
      </c>
      <c r="H11" s="439">
        <f t="shared" ref="H11:H18" si="0">SUM(E11:G11)</f>
        <v>101.79012345679014</v>
      </c>
      <c r="J11" s="426">
        <f>J12*J7/1000</f>
        <v>40.18518518518519</v>
      </c>
      <c r="K11" s="225">
        <f>+K12*K7/1000</f>
        <v>4.1203703703703711</v>
      </c>
      <c r="L11" s="439">
        <f>SUM(J11:K11)</f>
        <v>44.305555555555564</v>
      </c>
      <c r="N11" s="410">
        <v>0</v>
      </c>
      <c r="P11" s="225">
        <f>+P12*P9/1000</f>
        <v>40.18518518518519</v>
      </c>
      <c r="Q11" s="424"/>
      <c r="R11" s="421">
        <f>+P11+L11+H11+N11</f>
        <v>186.28086419753089</v>
      </c>
    </row>
    <row r="12" spans="2:18" s="428" customFormat="1" x14ac:dyDescent="0.3">
      <c r="B12" s="428" t="s">
        <v>320</v>
      </c>
      <c r="C12" s="429" t="s">
        <v>186</v>
      </c>
      <c r="E12" s="430">
        <f>+'Market Share'!E29/'Market Share'!D27</f>
        <v>574.07407407407413</v>
      </c>
      <c r="F12" s="436">
        <f>+'Market Share'!F29/'Market Share'!D27</f>
        <v>560.18518518518522</v>
      </c>
      <c r="G12" s="436">
        <f>+'Market Share'!G29/'Market Share'!D27</f>
        <v>549.38271604938279</v>
      </c>
      <c r="H12" s="438">
        <f>+H11/H7*1000</f>
        <v>565.50068587105625</v>
      </c>
      <c r="J12" s="430">
        <f>+'Market Share'!E30/'Market Share'!D27</f>
        <v>574.07407407407413</v>
      </c>
      <c r="K12" s="447">
        <f>+'Market Share'!G30/'Market Share'!D27</f>
        <v>549.38271604938279</v>
      </c>
      <c r="L12" s="438">
        <f>+L11/L7*1000</f>
        <v>571.68458781362017</v>
      </c>
      <c r="N12" s="410">
        <v>0</v>
      </c>
      <c r="O12" s="429"/>
      <c r="P12" s="436">
        <f>+'Market Share'!E32/'Market Share'!D27</f>
        <v>574.07407407407413</v>
      </c>
      <c r="Q12" s="432"/>
      <c r="R12" s="433"/>
    </row>
    <row r="13" spans="2:18" x14ac:dyDescent="0.35">
      <c r="B13" t="s">
        <v>321</v>
      </c>
      <c r="C13" s="224" t="s">
        <v>333</v>
      </c>
      <c r="E13" s="409">
        <v>0</v>
      </c>
      <c r="F13" s="224">
        <f>F14*F8/1000</f>
        <v>4.8</v>
      </c>
      <c r="G13" s="225">
        <f>+G14*G8/1000</f>
        <v>20.399999999999999</v>
      </c>
      <c r="H13" s="439">
        <f t="shared" si="0"/>
        <v>25.2</v>
      </c>
      <c r="J13" s="410">
        <v>0</v>
      </c>
      <c r="K13" s="411">
        <v>0</v>
      </c>
      <c r="L13" s="452">
        <v>0</v>
      </c>
      <c r="N13" s="410">
        <v>0</v>
      </c>
      <c r="P13" s="224">
        <v>0</v>
      </c>
      <c r="Q13" s="424"/>
      <c r="R13" s="421">
        <f>+P13+L13+H13+N13</f>
        <v>25.2</v>
      </c>
    </row>
    <row r="14" spans="2:18" s="428" customFormat="1" x14ac:dyDescent="0.3">
      <c r="B14" s="428" t="s">
        <v>320</v>
      </c>
      <c r="C14" s="429" t="s">
        <v>186</v>
      </c>
      <c r="E14" s="430">
        <f>+'Market Share'!E34</f>
        <v>490</v>
      </c>
      <c r="F14" s="447">
        <f>+'Market Share'!F34</f>
        <v>480</v>
      </c>
      <c r="G14" s="447">
        <f>+'Market Share'!G34</f>
        <v>510</v>
      </c>
      <c r="H14" s="438">
        <f>+H13/H8*1000</f>
        <v>504</v>
      </c>
      <c r="J14" s="453">
        <v>0</v>
      </c>
      <c r="K14" s="454">
        <v>0</v>
      </c>
      <c r="L14" s="455">
        <v>0</v>
      </c>
      <c r="N14" s="410">
        <v>0</v>
      </c>
      <c r="O14" s="429"/>
      <c r="P14" s="429">
        <v>0</v>
      </c>
      <c r="Q14" s="432"/>
      <c r="R14" s="460">
        <f>+R13/R8*1000</f>
        <v>438.26086956521738</v>
      </c>
    </row>
    <row r="15" spans="2:18" x14ac:dyDescent="0.35">
      <c r="B15" t="s">
        <v>322</v>
      </c>
      <c r="C15" s="224" t="s">
        <v>333</v>
      </c>
      <c r="E15" s="426">
        <f>+E13+E11</f>
        <v>57.407407407407419</v>
      </c>
      <c r="F15" s="225">
        <f>+F13+F11</f>
        <v>27.207407407407409</v>
      </c>
      <c r="G15" s="225">
        <f>+G13+G11</f>
        <v>42.375308641975309</v>
      </c>
      <c r="H15" s="439">
        <f t="shared" si="0"/>
        <v>126.99012345679013</v>
      </c>
      <c r="J15" s="426">
        <f>+J13+J11</f>
        <v>40.18518518518519</v>
      </c>
      <c r="K15" s="224">
        <f>+K13+K11</f>
        <v>4.1203703703703711</v>
      </c>
      <c r="L15" s="439">
        <f>SUM(J15:K15)</f>
        <v>44.305555555555564</v>
      </c>
      <c r="N15" s="410">
        <f>+N13+N11</f>
        <v>0</v>
      </c>
      <c r="P15" s="225">
        <f>+P13+P11</f>
        <v>40.18518518518519</v>
      </c>
      <c r="Q15" s="424"/>
      <c r="R15" s="421">
        <f>+P15+L15+H15+N15</f>
        <v>211.48086419753088</v>
      </c>
    </row>
    <row r="16" spans="2:18" s="428" customFormat="1" x14ac:dyDescent="0.3">
      <c r="B16" s="428" t="s">
        <v>323</v>
      </c>
      <c r="C16" s="429" t="s">
        <v>186</v>
      </c>
      <c r="E16" s="430">
        <f>+E15*1000/(E9)</f>
        <v>574.07407407407413</v>
      </c>
      <c r="F16" s="436">
        <f>F15/F9*1000</f>
        <v>544.14814814814815</v>
      </c>
      <c r="G16" s="436">
        <f>+G15/G9*1000</f>
        <v>529.69135802469134</v>
      </c>
      <c r="H16" s="438">
        <f>+H15/H9*1000</f>
        <v>552.1309715512615</v>
      </c>
      <c r="J16" s="430">
        <f>+J15*1000/(J9)</f>
        <v>574.07407407407413</v>
      </c>
      <c r="K16" s="436">
        <f>+K15*1000/(K9)</f>
        <v>274.6913580246914</v>
      </c>
      <c r="L16" s="438">
        <f>+L15/L9*1000</f>
        <v>521.24183006535964</v>
      </c>
      <c r="N16" s="410">
        <v>0</v>
      </c>
      <c r="O16" s="429"/>
      <c r="P16" s="436">
        <f>P15/P9*1000</f>
        <v>574.07407407407413</v>
      </c>
      <c r="Q16" s="432"/>
      <c r="R16" s="460">
        <f>+R15/R9*1000</f>
        <v>549.30094596761273</v>
      </c>
    </row>
    <row r="17" spans="2:18" x14ac:dyDescent="0.35">
      <c r="E17" s="409"/>
      <c r="H17" s="434"/>
      <c r="J17" s="409"/>
      <c r="L17" s="434"/>
      <c r="N17" s="409"/>
      <c r="Q17" s="424"/>
      <c r="R17" s="420"/>
    </row>
    <row r="18" spans="2:18" x14ac:dyDescent="0.35">
      <c r="B18" t="s">
        <v>324</v>
      </c>
      <c r="C18" s="224" t="s">
        <v>333</v>
      </c>
      <c r="E18" s="427">
        <f>(+E19*E9)/1000</f>
        <v>54.968563835084012</v>
      </c>
      <c r="F18" s="225">
        <f>+F19*F9/1000</f>
        <v>26.992031845363901</v>
      </c>
      <c r="G18" s="225">
        <f>+G19*G9/1000</f>
        <v>35.430517899630409</v>
      </c>
      <c r="H18" s="439">
        <f t="shared" si="0"/>
        <v>117.39111358007833</v>
      </c>
      <c r="J18" s="426">
        <f>J19*J9/1000</f>
        <v>37.425717204329949</v>
      </c>
      <c r="K18" s="225">
        <f>K19*K9/1000</f>
        <v>7.1886167436843147</v>
      </c>
      <c r="L18" s="439">
        <f>SUM(J18:K18)</f>
        <v>44.614333948014263</v>
      </c>
      <c r="N18" s="410">
        <v>0</v>
      </c>
      <c r="P18" s="381">
        <f>P19*P9/1000</f>
        <v>37.679244275556776</v>
      </c>
      <c r="Q18" s="424"/>
      <c r="R18" s="421">
        <f>+P18+L18+H18+N18</f>
        <v>199.68469180364937</v>
      </c>
    </row>
    <row r="19" spans="2:18" s="428" customFormat="1" x14ac:dyDescent="0.3">
      <c r="B19" s="428" t="s">
        <v>325</v>
      </c>
      <c r="C19" s="429" t="s">
        <v>186</v>
      </c>
      <c r="E19" s="430">
        <f>+Rebar!E32</f>
        <v>549.68563835084012</v>
      </c>
      <c r="F19" s="436">
        <f>+Wire!E32</f>
        <v>539.84063690727805</v>
      </c>
      <c r="G19" s="436">
        <f>+'EZDK Flat'!E205</f>
        <v>442.88147374538011</v>
      </c>
      <c r="H19" s="438">
        <f>+H18/H9*1000</f>
        <v>510.39614600034054</v>
      </c>
      <c r="J19" s="430">
        <f>+Rebar!F32</f>
        <v>534.65310291899925</v>
      </c>
      <c r="K19" s="436">
        <f>'EFS Flat'!E205</f>
        <v>479.24111624562096</v>
      </c>
      <c r="L19" s="438">
        <f>+L18/L9*1000</f>
        <v>524.87451703546196</v>
      </c>
      <c r="N19" s="410">
        <v>0</v>
      </c>
      <c r="O19" s="429"/>
      <c r="P19" s="457">
        <f>+Rebar!H32</f>
        <v>538.27491822223965</v>
      </c>
      <c r="Q19" s="432"/>
      <c r="R19" s="433">
        <f>+R18/R9*1000</f>
        <v>518.661537152336</v>
      </c>
    </row>
    <row r="20" spans="2:18" x14ac:dyDescent="0.35">
      <c r="E20" s="409"/>
      <c r="H20" s="434"/>
      <c r="J20" s="409"/>
      <c r="L20" s="434"/>
      <c r="N20" s="409"/>
      <c r="Q20" s="424"/>
      <c r="R20" s="420"/>
    </row>
    <row r="21" spans="2:18" x14ac:dyDescent="0.35">
      <c r="B21" t="s">
        <v>326</v>
      </c>
      <c r="C21" s="224" t="s">
        <v>186</v>
      </c>
      <c r="E21" s="410">
        <v>0</v>
      </c>
      <c r="F21" s="224">
        <v>0.06</v>
      </c>
      <c r="G21" s="224">
        <v>0.8</v>
      </c>
      <c r="H21" s="456">
        <f>SUM(E21:G21)</f>
        <v>0.8600000000000001</v>
      </c>
      <c r="J21" s="409">
        <v>0</v>
      </c>
      <c r="K21" s="224">
        <v>0</v>
      </c>
      <c r="L21" s="434">
        <v>0</v>
      </c>
      <c r="N21" s="410">
        <v>0</v>
      </c>
      <c r="P21" s="224">
        <v>0</v>
      </c>
      <c r="Q21" s="424"/>
      <c r="R21" s="459">
        <f>+P21+L21+H21+N21</f>
        <v>0.8600000000000001</v>
      </c>
    </row>
    <row r="22" spans="2:18" x14ac:dyDescent="0.35">
      <c r="E22" s="409"/>
      <c r="H22" s="434"/>
      <c r="J22" s="409"/>
      <c r="L22" s="434"/>
      <c r="N22" s="409"/>
      <c r="Q22" s="424"/>
      <c r="R22" s="420"/>
    </row>
    <row r="23" spans="2:18" s="445" customFormat="1" ht="31.5" customHeight="1" x14ac:dyDescent="0.35">
      <c r="B23" s="445" t="s">
        <v>328</v>
      </c>
      <c r="C23" s="413" t="s">
        <v>333</v>
      </c>
      <c r="E23" s="440">
        <f>E15-E18-E21</f>
        <v>2.4388435723234068</v>
      </c>
      <c r="F23" s="446">
        <f>F15-F18-F21</f>
        <v>0.1553755620435085</v>
      </c>
      <c r="G23" s="446">
        <f>G15-G18-G21</f>
        <v>6.1447907423448997</v>
      </c>
      <c r="H23" s="441">
        <f>SUM(E23:G23)</f>
        <v>8.7390098767118154</v>
      </c>
      <c r="J23" s="444">
        <f>J15-J18-J21</f>
        <v>2.7594679808552414</v>
      </c>
      <c r="K23" s="446">
        <f>K15-K18-K21</f>
        <v>-3.0682463733139436</v>
      </c>
      <c r="L23" s="441">
        <f>SUM(I23:K23)</f>
        <v>-0.3087783924587022</v>
      </c>
      <c r="N23" s="410">
        <v>0</v>
      </c>
      <c r="O23" s="413"/>
      <c r="P23" s="446">
        <f>P15-P18-P21</f>
        <v>2.5059409096284142</v>
      </c>
      <c r="Q23" s="422"/>
      <c r="R23" s="458">
        <f>+P23+L23+H23+N23</f>
        <v>10.936172393881527</v>
      </c>
    </row>
    <row r="24" spans="2:18" s="428" customFormat="1" x14ac:dyDescent="0.3">
      <c r="B24" s="428" t="s">
        <v>327</v>
      </c>
      <c r="C24" s="429" t="s">
        <v>186</v>
      </c>
      <c r="E24" s="430">
        <f>E23*1000/E9</f>
        <v>24.388435723234071</v>
      </c>
      <c r="F24" s="436">
        <f>F23*1000/F9</f>
        <v>3.1075112408701697</v>
      </c>
      <c r="G24" s="436">
        <f>G23*1000/G9</f>
        <v>76.809884279311248</v>
      </c>
      <c r="H24" s="438">
        <f>+H23/H9*1000</f>
        <v>37.995695116138329</v>
      </c>
      <c r="J24" s="430">
        <f>J23*1000/J9</f>
        <v>39.420971155074881</v>
      </c>
      <c r="K24" s="436">
        <f>K23*1000/K9</f>
        <v>-204.54975822092956</v>
      </c>
      <c r="L24" s="438">
        <f>+L23/L9*1000</f>
        <v>-3.6326869701023785</v>
      </c>
      <c r="N24" s="410">
        <v>0</v>
      </c>
      <c r="O24" s="429"/>
      <c r="P24" s="436">
        <f>P23*1000/P9</f>
        <v>35.799155851834492</v>
      </c>
      <c r="Q24" s="432"/>
      <c r="R24" s="460">
        <f>+R23/R9*1000</f>
        <v>28.40564258151046</v>
      </c>
    </row>
    <row r="25" spans="2:18" x14ac:dyDescent="0.35">
      <c r="B25" t="s">
        <v>251</v>
      </c>
      <c r="C25" s="224" t="s">
        <v>5</v>
      </c>
      <c r="E25" s="425">
        <f>E24/E16*100</f>
        <v>4.2483081582407731</v>
      </c>
      <c r="F25" s="230">
        <f>F24/F16*100</f>
        <v>0.57107816160832137</v>
      </c>
      <c r="G25" s="230">
        <f>G24/G16*100</f>
        <v>14.500875484498801</v>
      </c>
      <c r="H25" s="437">
        <f>H24/H16*100</f>
        <v>6.881645311326408</v>
      </c>
      <c r="J25" s="425">
        <f>J24/J16*100</f>
        <v>6.8668788463678814</v>
      </c>
      <c r="K25" s="230">
        <f>K24/K16*100</f>
        <v>-74.465305239978846</v>
      </c>
      <c r="L25" s="437">
        <f>L24/L16*100</f>
        <v>-0.69692928705412382</v>
      </c>
      <c r="N25" s="410">
        <v>0</v>
      </c>
      <c r="P25" s="230">
        <f>P24/P16*100</f>
        <v>6.2359819870937496</v>
      </c>
      <c r="Q25" s="424"/>
      <c r="R25" s="461">
        <f>R24/R16*100</f>
        <v>5.1712349651014948</v>
      </c>
    </row>
    <row r="26" spans="2:18" x14ac:dyDescent="0.35">
      <c r="E26" s="409"/>
      <c r="H26" s="434"/>
      <c r="J26" s="409"/>
      <c r="L26" s="434"/>
      <c r="N26" s="409"/>
      <c r="Q26" s="424"/>
      <c r="R26" s="420"/>
    </row>
    <row r="27" spans="2:18" x14ac:dyDescent="0.35">
      <c r="B27" t="s">
        <v>266</v>
      </c>
      <c r="C27" s="224" t="s">
        <v>333</v>
      </c>
      <c r="E27" s="426">
        <f>+'Fixed Cost'!D46</f>
        <v>2.4824999999999999</v>
      </c>
      <c r="F27" s="225">
        <f>+'Fixed Cost'!D54</f>
        <v>2.4824999999999999</v>
      </c>
      <c r="G27" s="225">
        <f>+'Fixed Cost'!D62</f>
        <v>4.9649999999999999</v>
      </c>
      <c r="H27" s="439">
        <f>SUM(E27:G27)</f>
        <v>9.93</v>
      </c>
      <c r="J27" s="409">
        <f>+'Fixed Cost'!E46</f>
        <v>1.77</v>
      </c>
      <c r="K27" s="224">
        <f>+'Fixed Cost'!E62</f>
        <v>1.77</v>
      </c>
      <c r="L27" s="434">
        <f>SUM(I27:K27)</f>
        <v>3.54</v>
      </c>
      <c r="N27" s="409">
        <f>+'Fixed Cost'!F7</f>
        <v>1.17</v>
      </c>
      <c r="P27" s="224">
        <f>+'Fixed Cost'!G46</f>
        <v>2.4500000000000002</v>
      </c>
      <c r="Q27" s="424"/>
      <c r="R27" s="421">
        <f>+P27+L27+H27+N27</f>
        <v>17.09</v>
      </c>
    </row>
    <row r="28" spans="2:18" x14ac:dyDescent="0.35">
      <c r="B28" t="s">
        <v>267</v>
      </c>
      <c r="C28" s="224" t="s">
        <v>333</v>
      </c>
      <c r="E28" s="426">
        <f>+'Fixed Cost'!D47</f>
        <v>0.91500000000000004</v>
      </c>
      <c r="F28" s="225">
        <f>+'Fixed Cost'!D55</f>
        <v>0.91500000000000004</v>
      </c>
      <c r="G28" s="225">
        <f>+'Fixed Cost'!D63</f>
        <v>1.83</v>
      </c>
      <c r="H28" s="439">
        <f>SUM(E28:G28)</f>
        <v>3.66</v>
      </c>
      <c r="J28" s="409">
        <f>+'Fixed Cost'!E47</f>
        <v>0.13</v>
      </c>
      <c r="K28" s="224">
        <f>+'Fixed Cost'!E63</f>
        <v>0.13</v>
      </c>
      <c r="L28" s="434">
        <f>SUM(I28:K28)</f>
        <v>0.26</v>
      </c>
      <c r="N28" s="409">
        <f>+'Fixed Cost'!F8</f>
        <v>0.84</v>
      </c>
      <c r="P28" s="224">
        <f>+'Fixed Cost'!G47</f>
        <v>2.38</v>
      </c>
      <c r="Q28" s="424"/>
      <c r="R28" s="421">
        <f>+P28+L28+H28+N28</f>
        <v>7.14</v>
      </c>
    </row>
    <row r="29" spans="2:18" ht="12.75" customHeight="1" x14ac:dyDescent="0.35">
      <c r="B29" t="s">
        <v>298</v>
      </c>
      <c r="C29" s="224" t="s">
        <v>333</v>
      </c>
      <c r="E29" s="426">
        <f>+'Fixed Cost'!D48</f>
        <v>1.7475000000000001</v>
      </c>
      <c r="F29" s="225">
        <f>+'Fixed Cost'!D56</f>
        <v>1.7475000000000001</v>
      </c>
      <c r="G29" s="225">
        <f>+'Fixed Cost'!D64</f>
        <v>3.4950000000000001</v>
      </c>
      <c r="H29" s="439">
        <f>SUM(E29:G29)</f>
        <v>6.99</v>
      </c>
      <c r="J29" s="409">
        <f>+'Fixed Cost'!E48</f>
        <v>1.21</v>
      </c>
      <c r="K29" s="224">
        <f>+'Fixed Cost'!E64</f>
        <v>1.21</v>
      </c>
      <c r="L29" s="434">
        <f>SUM(I29:K29)</f>
        <v>2.42</v>
      </c>
      <c r="N29" s="409">
        <f>+'Fixed Cost'!F9</f>
        <v>4.5199999999999996</v>
      </c>
      <c r="P29" s="224">
        <f>+'Fixed Cost'!G48</f>
        <v>5.17</v>
      </c>
      <c r="Q29" s="424"/>
      <c r="R29" s="421">
        <f>+P29+L29+H29+N29</f>
        <v>19.100000000000001</v>
      </c>
    </row>
    <row r="30" spans="2:18" s="445" customFormat="1" ht="25.5" customHeight="1" x14ac:dyDescent="0.35">
      <c r="B30" s="445" t="s">
        <v>332</v>
      </c>
      <c r="C30" s="413" t="s">
        <v>333</v>
      </c>
      <c r="E30" s="444">
        <f>SUM(E27:E29)</f>
        <v>5.1449999999999996</v>
      </c>
      <c r="F30" s="446">
        <f>SUM(F27:F29)</f>
        <v>5.1449999999999996</v>
      </c>
      <c r="G30" s="446">
        <f>SUM(G27:G29)</f>
        <v>10.29</v>
      </c>
      <c r="H30" s="441">
        <f>SUM(E30:G30)</f>
        <v>20.58</v>
      </c>
      <c r="J30" s="444">
        <f>SUM(J27:J29)</f>
        <v>3.11</v>
      </c>
      <c r="K30" s="446">
        <f>SUM(K27:K29)</f>
        <v>3.11</v>
      </c>
      <c r="L30" s="451">
        <f>SUM(I30:K30)</f>
        <v>6.22</v>
      </c>
      <c r="N30" s="442">
        <f>SUM(N27:N29)</f>
        <v>6.5299999999999994</v>
      </c>
      <c r="O30" s="413"/>
      <c r="P30" s="413">
        <f>SUM(P27:P29)</f>
        <v>10</v>
      </c>
      <c r="Q30" s="422"/>
      <c r="R30" s="443">
        <f>+P30+L30+H30+N30</f>
        <v>43.33</v>
      </c>
    </row>
    <row r="31" spans="2:18" x14ac:dyDescent="0.35">
      <c r="E31" s="409"/>
      <c r="H31" s="434"/>
      <c r="J31" s="409"/>
      <c r="L31" s="434"/>
      <c r="N31" s="409"/>
      <c r="Q31" s="424"/>
      <c r="R31" s="420"/>
    </row>
    <row r="32" spans="2:18" x14ac:dyDescent="0.35">
      <c r="B32" t="s">
        <v>331</v>
      </c>
      <c r="C32" s="224" t="s">
        <v>333</v>
      </c>
      <c r="E32" s="427">
        <f>E23-E30</f>
        <v>-2.7061564276765928</v>
      </c>
      <c r="F32" s="247">
        <f>F23-F30</f>
        <v>-4.9896244379564907</v>
      </c>
      <c r="G32" s="247">
        <f>G23-G30</f>
        <v>-4.1452092576550994</v>
      </c>
      <c r="H32" s="439">
        <f>SUM(E32:G32)</f>
        <v>-11.840990123288183</v>
      </c>
      <c r="J32" s="426">
        <f>J23-J30</f>
        <v>-0.35053201914475851</v>
      </c>
      <c r="K32" s="225">
        <f>K23-K30</f>
        <v>-6.178246373313943</v>
      </c>
      <c r="L32" s="439">
        <f>SUM(I32:K32)</f>
        <v>-6.5287783924587011</v>
      </c>
      <c r="N32" s="409">
        <f>N23-N30</f>
        <v>-6.5299999999999994</v>
      </c>
      <c r="P32" s="225">
        <f>P23-P30</f>
        <v>-7.4940590903715858</v>
      </c>
      <c r="Q32" s="424"/>
      <c r="R32" s="459">
        <f>+P32+L32+H32+N32</f>
        <v>-32.393827606118471</v>
      </c>
    </row>
    <row r="33" spans="2:18" s="428" customFormat="1" ht="13" x14ac:dyDescent="0.3">
      <c r="B33" s="428" t="s">
        <v>330</v>
      </c>
      <c r="C33" s="429" t="s">
        <v>186</v>
      </c>
      <c r="E33" s="430">
        <f>+E32/E9*1000</f>
        <v>-27.061564276765928</v>
      </c>
      <c r="F33" s="436">
        <f>+F32/F9*1000</f>
        <v>-99.79248875912981</v>
      </c>
      <c r="G33" s="436">
        <f>+G32/G9*1000</f>
        <v>-51.815115720688738</v>
      </c>
      <c r="H33" s="438">
        <f>+H32/H9*1000</f>
        <v>-51.482565753426883</v>
      </c>
      <c r="J33" s="430">
        <f>+J32/J9*1000</f>
        <v>-5.0076002734965499</v>
      </c>
      <c r="K33" s="436">
        <f>+K32/K9*1000</f>
        <v>-411.88309155426288</v>
      </c>
      <c r="L33" s="438">
        <f>+L32/L9*1000</f>
        <v>-76.80915755833766</v>
      </c>
      <c r="N33" s="431"/>
      <c r="O33" s="429"/>
      <c r="P33" s="436">
        <f>+P32/P9*1000</f>
        <v>-107.05798700530838</v>
      </c>
      <c r="Q33" s="432"/>
      <c r="R33" s="460">
        <f>+R32/R9*1000</f>
        <v>-84.139811963944084</v>
      </c>
    </row>
    <row r="34" spans="2:18" x14ac:dyDescent="0.35">
      <c r="B34" t="s">
        <v>251</v>
      </c>
      <c r="C34" s="224" t="s">
        <v>5</v>
      </c>
      <c r="E34" s="425">
        <f>E33/E16*100</f>
        <v>-4.7139499062753547</v>
      </c>
      <c r="F34" s="230">
        <f>F33/F16*100</f>
        <v>-18.339213153393036</v>
      </c>
      <c r="G34" s="230">
        <f>G33/G16*100</f>
        <v>-9.7821334888143294</v>
      </c>
      <c r="H34" s="437">
        <f>H33/H16*100</f>
        <v>-9.3243394060619345</v>
      </c>
      <c r="J34" s="425">
        <f>J33/J16*100</f>
        <v>-0.8722916605445602</v>
      </c>
      <c r="K34" s="230">
        <f>K33/K16*100</f>
        <v>-149.94395692537208</v>
      </c>
      <c r="L34" s="437">
        <f>L33/L16*100</f>
        <v>-14.735800760408349</v>
      </c>
      <c r="N34" s="409"/>
      <c r="P34" s="230">
        <f>P33/P16*100</f>
        <v>-18.648810639634362</v>
      </c>
      <c r="Q34" s="424"/>
      <c r="R34" s="461">
        <f>R33/R16*100</f>
        <v>-15.317616432596685</v>
      </c>
    </row>
    <row r="35" spans="2:18" x14ac:dyDescent="0.35">
      <c r="E35" s="409"/>
      <c r="H35" s="434"/>
      <c r="J35" s="409"/>
      <c r="L35" s="434"/>
      <c r="N35" s="409"/>
      <c r="P35" s="225"/>
      <c r="Q35" s="424"/>
      <c r="R35" s="420"/>
    </row>
    <row r="36" spans="2:18" x14ac:dyDescent="0.35">
      <c r="B36" t="s">
        <v>269</v>
      </c>
      <c r="C36" s="224" t="s">
        <v>333</v>
      </c>
      <c r="E36" s="426">
        <f>'Fixed Cost'!D49</f>
        <v>0.59750000000000003</v>
      </c>
      <c r="F36" s="225">
        <f>+'Fixed Cost'!D57</f>
        <v>0.59750000000000003</v>
      </c>
      <c r="G36" s="225">
        <f>+'Fixed Cost'!D65</f>
        <v>1.1950000000000001</v>
      </c>
      <c r="H36" s="434">
        <f>SUM(E36:G36)</f>
        <v>2.39</v>
      </c>
      <c r="J36" s="409">
        <f>+'Fixed Cost'!E49</f>
        <v>1.26</v>
      </c>
      <c r="K36" s="224">
        <f>+'Fixed Cost'!E65</f>
        <v>1.26</v>
      </c>
      <c r="L36" s="434">
        <f>SUM(J36:K36)</f>
        <v>2.52</v>
      </c>
      <c r="N36" s="409">
        <f>+'Fixed Cost'!F11</f>
        <v>1.24</v>
      </c>
      <c r="P36" s="225">
        <f>+'Fixed Cost'!G11</f>
        <v>0.13</v>
      </c>
      <c r="Q36" s="424"/>
      <c r="R36" s="459">
        <f>+P36+L36+H36+N36</f>
        <v>6.28</v>
      </c>
    </row>
    <row r="37" spans="2:18" x14ac:dyDescent="0.35">
      <c r="E37" s="409"/>
      <c r="H37" s="434"/>
      <c r="J37" s="409"/>
      <c r="L37" s="434"/>
      <c r="N37" s="409"/>
      <c r="P37" s="225"/>
      <c r="Q37" s="424"/>
      <c r="R37" s="420"/>
    </row>
    <row r="38" spans="2:18" s="445" customFormat="1" ht="25.5" customHeight="1" x14ac:dyDescent="0.35">
      <c r="B38" s="445" t="s">
        <v>329</v>
      </c>
      <c r="C38" s="413" t="s">
        <v>333</v>
      </c>
      <c r="E38" s="444">
        <f>+E32-E36</f>
        <v>-3.303656427676593</v>
      </c>
      <c r="F38" s="446">
        <f>+F32-F36</f>
        <v>-5.5871244379564908</v>
      </c>
      <c r="G38" s="446">
        <f>+G32-G36</f>
        <v>-5.3402092576550997</v>
      </c>
      <c r="H38" s="441">
        <f>SUM(E38:G38)</f>
        <v>-14.230990123288183</v>
      </c>
      <c r="J38" s="444">
        <f>+J32-J36</f>
        <v>-1.6105320191447585</v>
      </c>
      <c r="K38" s="446">
        <f>+K32-K36</f>
        <v>-7.4382463733139428</v>
      </c>
      <c r="L38" s="441">
        <f>SUM(I38:K38)</f>
        <v>-9.0487783924587006</v>
      </c>
      <c r="N38" s="444">
        <f>+N32-N36</f>
        <v>-7.77</v>
      </c>
      <c r="O38" s="413"/>
      <c r="P38" s="446">
        <f>+P32-P36</f>
        <v>-7.6240590903715857</v>
      </c>
      <c r="Q38" s="422"/>
      <c r="R38" s="458">
        <f>+P38+L38+H38+N38</f>
        <v>-38.673827606118465</v>
      </c>
    </row>
    <row r="39" spans="2:18" s="428" customFormat="1" ht="13" x14ac:dyDescent="0.3">
      <c r="B39" s="428" t="s">
        <v>330</v>
      </c>
      <c r="C39" s="429" t="s">
        <v>186</v>
      </c>
      <c r="E39" s="430">
        <f>+E38/E9*1000</f>
        <v>-33.03656427676593</v>
      </c>
      <c r="F39" s="436">
        <f>+F38/F9*1000</f>
        <v>-111.74248875912981</v>
      </c>
      <c r="G39" s="436">
        <f>+G38/G9*1000</f>
        <v>-66.752615720688752</v>
      </c>
      <c r="H39" s="438">
        <f>+H38/H9*1000</f>
        <v>-61.873870101252969</v>
      </c>
      <c r="J39" s="430">
        <f>+J38/J9*1000</f>
        <v>-23.00760027349655</v>
      </c>
      <c r="K39" s="436">
        <f>+K38/K9*1000</f>
        <v>-495.88309155426288</v>
      </c>
      <c r="L39" s="438">
        <f>+L38/L9*1000</f>
        <v>-106.45621638186707</v>
      </c>
      <c r="N39" s="431"/>
      <c r="O39" s="429"/>
      <c r="P39" s="436">
        <f>+P38/P9*1000</f>
        <v>-108.91512986245122</v>
      </c>
      <c r="Q39" s="432"/>
      <c r="R39" s="460">
        <f>+R38/R9*1000</f>
        <v>-100.45150027563238</v>
      </c>
    </row>
    <row r="40" spans="2:18" ht="15" thickBot="1" x14ac:dyDescent="0.4">
      <c r="B40" t="s">
        <v>251</v>
      </c>
      <c r="C40" s="224" t="s">
        <v>5</v>
      </c>
      <c r="E40" s="448">
        <f>+E39/E16*100</f>
        <v>-5.7547563578882581</v>
      </c>
      <c r="F40" s="402">
        <f>+F39/F16*100</f>
        <v>-20.535306265290668</v>
      </c>
      <c r="G40" s="402">
        <f>+G39/G16*100</f>
        <v>-12.602171945870619</v>
      </c>
      <c r="H40" s="449">
        <f>+H39/H16*100</f>
        <v>-11.206375532133759</v>
      </c>
      <c r="J40" s="448">
        <f>+J39/J16*100</f>
        <v>-4.0077755315123014</v>
      </c>
      <c r="K40" s="402">
        <f>+K39/K16*100</f>
        <v>-180.52373220627095</v>
      </c>
      <c r="L40" s="449">
        <f>+L39/L16*100</f>
        <v>-20.423575055079194</v>
      </c>
      <c r="N40" s="417"/>
      <c r="O40" s="372"/>
      <c r="P40" s="402">
        <f>+P39/P16*100</f>
        <v>-18.972312943781823</v>
      </c>
      <c r="Q40" s="424"/>
      <c r="R40" s="462">
        <f>+R39/R16*100</f>
        <v>-18.287152245602559</v>
      </c>
    </row>
    <row r="41" spans="2:18" ht="15" thickTop="1" x14ac:dyDescent="0.35"/>
    <row r="42" spans="2:18" x14ac:dyDescent="0.35">
      <c r="H42" s="376">
        <f>1+'P&amp;L $ Monthly'!H50</f>
        <v>10</v>
      </c>
      <c r="I42" s="377" t="s">
        <v>263</v>
      </c>
    </row>
  </sheetData>
  <mergeCells count="3">
    <mergeCell ref="E4:H4"/>
    <mergeCell ref="J4:L4"/>
    <mergeCell ref="B2:R2"/>
  </mergeCells>
  <pageMargins left="0.7" right="0.7" top="0.75" bottom="0.75" header="0.3" footer="0.3"/>
  <pageSetup scale="76" orientation="landscape" horizontalDpi="4294967295" verticalDpi="4294967295" r:id="rId1"/>
  <headerFooter>
    <oddFooter>&amp;C&amp;1#&amp;"Calibri"&amp;10&amp;K737373EZDK Business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2:X64"/>
  <sheetViews>
    <sheetView showGridLines="0" tabSelected="1" topLeftCell="A28" zoomScale="70" zoomScaleNormal="70" workbookViewId="0">
      <selection activeCell="F67" sqref="F67"/>
    </sheetView>
  </sheetViews>
  <sheetFormatPr defaultRowHeight="14.5" x14ac:dyDescent="0.35"/>
  <cols>
    <col min="1" max="1" width="3.54296875" customWidth="1"/>
    <col min="2" max="2" width="23.1796875" bestFit="1" customWidth="1"/>
    <col min="3" max="3" width="12.54296875" bestFit="1" customWidth="1"/>
    <col min="4" max="4" width="11.1796875" customWidth="1"/>
    <col min="5" max="5" width="14.26953125" bestFit="1" customWidth="1"/>
    <col min="6" max="6" width="12.1796875" customWidth="1"/>
    <col min="7" max="7" width="11.1796875" customWidth="1"/>
    <col min="8" max="8" width="12.453125" bestFit="1" customWidth="1"/>
    <col min="9" max="9" width="23.1796875" bestFit="1" customWidth="1"/>
    <col min="10" max="10" width="12.453125" bestFit="1" customWidth="1"/>
    <col min="11" max="11" width="14.26953125" bestFit="1" customWidth="1"/>
    <col min="15" max="15" width="14.26953125" bestFit="1" customWidth="1"/>
    <col min="19" max="19" width="14.26953125" bestFit="1" customWidth="1"/>
    <col min="23" max="23" width="16" bestFit="1" customWidth="1"/>
    <col min="25" max="25" width="3" customWidth="1"/>
  </cols>
  <sheetData>
    <row r="2" spans="2:11" ht="21" x14ac:dyDescent="0.5">
      <c r="B2" s="817" t="s">
        <v>389</v>
      </c>
      <c r="C2" s="817"/>
      <c r="D2" s="817"/>
      <c r="E2" s="817"/>
      <c r="F2" s="817"/>
      <c r="G2" s="817"/>
      <c r="H2" s="817"/>
      <c r="I2" s="817"/>
      <c r="J2" s="817"/>
      <c r="K2" s="578">
        <f ca="1">'Fixed Cost'!H2</f>
        <v>46303</v>
      </c>
    </row>
    <row r="4" spans="2:11" s="364" customFormat="1" x14ac:dyDescent="0.35">
      <c r="C4" s="802" t="s">
        <v>347</v>
      </c>
      <c r="D4" s="802"/>
      <c r="E4" s="368" t="s">
        <v>198</v>
      </c>
      <c r="F4" s="368" t="s">
        <v>179</v>
      </c>
      <c r="G4" s="368" t="s">
        <v>199</v>
      </c>
      <c r="J4" s="368" t="s">
        <v>177</v>
      </c>
      <c r="K4" s="368" t="s">
        <v>198</v>
      </c>
    </row>
    <row r="5" spans="2:11" s="364" customFormat="1" x14ac:dyDescent="0.35">
      <c r="C5" s="384" t="s">
        <v>285</v>
      </c>
      <c r="D5" s="384" t="s">
        <v>348</v>
      </c>
      <c r="E5" s="384" t="s">
        <v>285</v>
      </c>
      <c r="F5" s="384" t="s">
        <v>285</v>
      </c>
      <c r="G5" s="384" t="s">
        <v>285</v>
      </c>
      <c r="J5" s="384" t="s">
        <v>296</v>
      </c>
      <c r="K5" s="384" t="s">
        <v>296</v>
      </c>
    </row>
    <row r="6" spans="2:11" x14ac:dyDescent="0.35">
      <c r="B6" t="s">
        <v>359</v>
      </c>
      <c r="C6" s="381">
        <f>+'Market Share'!E6</f>
        <v>100</v>
      </c>
      <c r="D6" s="381">
        <f>+'Market Share'!F6</f>
        <v>40</v>
      </c>
      <c r="E6" s="224">
        <f>+'Market Share'!E7</f>
        <v>70</v>
      </c>
      <c r="F6" s="224">
        <f>+'Market Share'!E8</f>
        <v>30</v>
      </c>
      <c r="G6" s="224">
        <f>+'Market Share'!E9</f>
        <v>70</v>
      </c>
      <c r="I6" t="s">
        <v>359</v>
      </c>
      <c r="J6" s="381">
        <f>+'Market Share'!G6</f>
        <v>45</v>
      </c>
      <c r="K6" s="221">
        <f>+'Market Share'!G20</f>
        <v>7.5</v>
      </c>
    </row>
    <row r="7" spans="2:11" x14ac:dyDescent="0.35">
      <c r="B7" t="s">
        <v>349</v>
      </c>
      <c r="C7" s="381">
        <f>+'Market Share'!E29</f>
        <v>9300</v>
      </c>
      <c r="D7" s="381">
        <f>+'Market Share'!F29</f>
        <v>9075</v>
      </c>
      <c r="E7" s="381">
        <f>+'Market Share'!E30</f>
        <v>9300</v>
      </c>
      <c r="F7" s="381">
        <f>+'Market Share'!E31</f>
        <v>9300</v>
      </c>
      <c r="G7" s="381">
        <f>+'Market Share'!E32</f>
        <v>9300</v>
      </c>
      <c r="I7" t="s">
        <v>349</v>
      </c>
      <c r="J7" s="381">
        <f>+'Market Share'!G29</f>
        <v>8900</v>
      </c>
      <c r="K7" s="544">
        <f>+'Market Share'!G30</f>
        <v>8900</v>
      </c>
    </row>
    <row r="8" spans="2:11" x14ac:dyDescent="0.35">
      <c r="B8" t="s">
        <v>360</v>
      </c>
      <c r="C8" s="552">
        <v>0</v>
      </c>
      <c r="D8" s="381">
        <f>+'Market Share'!F19</f>
        <v>10</v>
      </c>
      <c r="I8" t="s">
        <v>360</v>
      </c>
      <c r="J8" s="381">
        <f>+'Market Share'!G19</f>
        <v>40</v>
      </c>
      <c r="K8" s="221">
        <f>+'Market Share'!G20</f>
        <v>7.5</v>
      </c>
    </row>
    <row r="9" spans="2:11" x14ac:dyDescent="0.35">
      <c r="B9" t="s">
        <v>350</v>
      </c>
      <c r="C9" s="552">
        <v>0</v>
      </c>
      <c r="D9" s="381">
        <f>+'Market Share'!F34</f>
        <v>480</v>
      </c>
      <c r="I9" t="s">
        <v>350</v>
      </c>
      <c r="J9" s="381">
        <f>+'Market Share'!G34</f>
        <v>510</v>
      </c>
      <c r="K9" s="544">
        <f>+'Market Share'!G35</f>
        <v>510</v>
      </c>
    </row>
    <row r="10" spans="2:11" s="545" customFormat="1" ht="31.5" customHeight="1" x14ac:dyDescent="0.35">
      <c r="B10" s="545" t="s">
        <v>358</v>
      </c>
      <c r="C10" s="500">
        <f>+C6+C8</f>
        <v>100</v>
      </c>
      <c r="D10" s="500">
        <f>+D6+D8</f>
        <v>50</v>
      </c>
      <c r="E10" s="500">
        <f>+E6+E8</f>
        <v>70</v>
      </c>
      <c r="F10" s="500">
        <f>+F6+F8</f>
        <v>30</v>
      </c>
      <c r="G10" s="500">
        <f>+G6+G8</f>
        <v>70</v>
      </c>
      <c r="I10" s="545" t="s">
        <v>358</v>
      </c>
      <c r="J10" s="500">
        <f>+J6+J8</f>
        <v>85</v>
      </c>
      <c r="K10" s="500">
        <f>+K6+K8</f>
        <v>15</v>
      </c>
    </row>
    <row r="11" spans="2:11" s="545" customFormat="1" ht="31.5" customHeight="1" x14ac:dyDescent="0.35">
      <c r="B11" s="545" t="s">
        <v>353</v>
      </c>
      <c r="C11" s="500">
        <f>+'P&amp;L LE Monthly'!E16</f>
        <v>9300</v>
      </c>
      <c r="D11" s="500">
        <f>+'P&amp;L LE Monthly'!F16</f>
        <v>8815.1999999999989</v>
      </c>
      <c r="E11" s="500">
        <f>'P&amp;L LE Monthly'!J16</f>
        <v>9300</v>
      </c>
      <c r="F11" s="488">
        <f>'P&amp;L LE Monthly'!N12</f>
        <v>9300</v>
      </c>
      <c r="G11" s="488">
        <f>'P&amp;L LE Monthly'!P12</f>
        <v>9300</v>
      </c>
      <c r="I11" s="545" t="s">
        <v>353</v>
      </c>
      <c r="J11" s="500">
        <f>+'P&amp;L LE Monthly'!G16</f>
        <v>8599.7647058823532</v>
      </c>
      <c r="K11" s="500">
        <f>'P&amp;L LE Monthly'!K16</f>
        <v>8581</v>
      </c>
    </row>
    <row r="12" spans="2:11" s="545" customFormat="1" ht="31.5" customHeight="1" x14ac:dyDescent="0.35">
      <c r="B12" s="545" t="s">
        <v>351</v>
      </c>
      <c r="C12" s="500">
        <f>+'P&amp;L LE Monthly'!E19+'P&amp;L LE Monthly'!E41</f>
        <v>8529.453170298224</v>
      </c>
      <c r="D12" s="500">
        <f>+'P&amp;L LE Monthly'!F19+'P&amp;L LE Monthly'!F41</f>
        <v>9353.601000443954</v>
      </c>
      <c r="E12" s="500">
        <f>'P&amp;L LE Monthly'!J19+'P&amp;L LE Monthly'!J41</f>
        <v>8622.0420665956481</v>
      </c>
      <c r="F12" s="500">
        <f>'P&amp;L LE Monthly'!N19+'P&amp;L LE Monthly'!N41</f>
        <v>11647.955189172044</v>
      </c>
      <c r="G12" s="500">
        <f>'P&amp;L LE Monthly'!P19+'P&amp;L LE Monthly'!P41</f>
        <v>10212.970778213754</v>
      </c>
      <c r="I12" s="545" t="s">
        <v>351</v>
      </c>
      <c r="J12" s="500">
        <f>+'P&amp;L LE Monthly'!G19+'P&amp;L LE Monthly'!G41</f>
        <v>9363.5857570280987</v>
      </c>
      <c r="K12" s="500">
        <f>'P&amp;L LE Monthly'!K19+'P&amp;L LE Monthly'!K41</f>
        <v>12483.306083179061</v>
      </c>
    </row>
    <row r="16" spans="2:11" s="364" customFormat="1" x14ac:dyDescent="0.35">
      <c r="C16" s="825" t="s">
        <v>177</v>
      </c>
      <c r="D16" s="825"/>
      <c r="E16" s="384" t="s">
        <v>198</v>
      </c>
      <c r="F16" s="384" t="s">
        <v>179</v>
      </c>
      <c r="G16" s="384" t="s">
        <v>199</v>
      </c>
      <c r="J16" s="368" t="s">
        <v>177</v>
      </c>
      <c r="K16" s="368" t="s">
        <v>198</v>
      </c>
    </row>
    <row r="17" spans="2:24" x14ac:dyDescent="0.35">
      <c r="B17" t="s">
        <v>237</v>
      </c>
      <c r="C17" s="548">
        <f>+Rebar!E6/100</f>
        <v>0.93620000000000003</v>
      </c>
      <c r="D17" s="548">
        <f>+Wire!E6/100</f>
        <v>0.97609999999999997</v>
      </c>
      <c r="E17" s="548">
        <f>+Rebar!F6/100</f>
        <v>0.97089999999999999</v>
      </c>
      <c r="F17" s="548">
        <f>+Rebar!G6/100</f>
        <v>0.97917872494526448</v>
      </c>
      <c r="G17" s="548">
        <f>+Rebar!H6/100</f>
        <v>0.96822729444709299</v>
      </c>
      <c r="I17" t="s">
        <v>254</v>
      </c>
      <c r="J17" s="548">
        <f>Flat!E19%</f>
        <v>0.97680000000000011</v>
      </c>
      <c r="K17" s="548">
        <f>Flat!F19%</f>
        <v>0.98</v>
      </c>
    </row>
    <row r="18" spans="2:24" x14ac:dyDescent="0.35">
      <c r="B18" t="s">
        <v>354</v>
      </c>
      <c r="C18" s="551">
        <f>+C10/C17</f>
        <v>106.81478316599016</v>
      </c>
      <c r="D18" s="551">
        <f>+D10/D17</f>
        <v>51.224259809445755</v>
      </c>
      <c r="E18" s="551">
        <f>+E10/E17</f>
        <v>72.098053352559475</v>
      </c>
      <c r="F18" s="551">
        <f>+F10/F17</f>
        <v>30.637920571320606</v>
      </c>
      <c r="G18" s="551">
        <f>+G10/G17</f>
        <v>72.297073632874145</v>
      </c>
      <c r="I18" t="s">
        <v>374</v>
      </c>
      <c r="J18" s="230">
        <f>J10/J17</f>
        <v>87.018837018837004</v>
      </c>
      <c r="K18" s="230">
        <f>K10/K17</f>
        <v>15.306122448979592</v>
      </c>
    </row>
    <row r="19" spans="2:24" ht="29" x14ac:dyDescent="0.35">
      <c r="B19" s="543" t="s">
        <v>375</v>
      </c>
      <c r="C19" s="826">
        <f>+Billet!E17*Billet!E18/10000</f>
        <v>0.84403433999999999</v>
      </c>
      <c r="D19" s="826"/>
      <c r="E19" s="548">
        <f>Billet!F17*Billet!F18/10000</f>
        <v>0.82528685000000002</v>
      </c>
      <c r="G19" s="548">
        <f>Billet!G17*Billet!G18/10000</f>
        <v>0.86039749999999982</v>
      </c>
      <c r="I19" s="543" t="s">
        <v>376</v>
      </c>
      <c r="J19" s="548">
        <f>Flat!E17*Flat!E18/10000</f>
        <v>0.84137706000000001</v>
      </c>
      <c r="K19" s="548">
        <f>Flat!F17*Flat!F18/10000</f>
        <v>0.82486599999999999</v>
      </c>
    </row>
    <row r="20" spans="2:24" ht="29" x14ac:dyDescent="0.35">
      <c r="B20" s="543" t="s">
        <v>356</v>
      </c>
      <c r="C20" s="824">
        <f>+(C18+D18)/C19</f>
        <v>187.24243254775143</v>
      </c>
      <c r="D20" s="824"/>
      <c r="E20" s="230">
        <f>E18/E19</f>
        <v>87.361204595177384</v>
      </c>
      <c r="G20" s="230">
        <f>G18/G19</f>
        <v>84.02752638504198</v>
      </c>
      <c r="I20" s="543" t="s">
        <v>356</v>
      </c>
      <c r="J20" s="230">
        <f>J18/J19</f>
        <v>103.42430422198224</v>
      </c>
      <c r="K20" s="230">
        <f>K18/K19</f>
        <v>18.555889622047207</v>
      </c>
    </row>
    <row r="21" spans="2:24" x14ac:dyDescent="0.35">
      <c r="B21" t="s">
        <v>204</v>
      </c>
      <c r="C21" s="827">
        <f>+'Production Requirments'!E13</f>
        <v>0.8</v>
      </c>
      <c r="D21" s="827"/>
      <c r="E21" s="548">
        <f>Billet!F13%</f>
        <v>0.8</v>
      </c>
      <c r="G21" s="548">
        <f>Billet!G13%</f>
        <v>0.2</v>
      </c>
      <c r="I21" t="s">
        <v>204</v>
      </c>
      <c r="J21" s="548">
        <f>Flat!E13%</f>
        <v>0.8</v>
      </c>
      <c r="K21" s="548">
        <f>Flat!F13%</f>
        <v>0.8</v>
      </c>
    </row>
    <row r="22" spans="2:24" x14ac:dyDescent="0.35">
      <c r="B22" t="s">
        <v>355</v>
      </c>
      <c r="C22" s="823">
        <f>+'Production Requirments'!E14</f>
        <v>149.7939460382012</v>
      </c>
      <c r="D22" s="823"/>
      <c r="E22" s="230">
        <f>E21*E20</f>
        <v>69.888963676141913</v>
      </c>
      <c r="G22" s="230">
        <f>G20*G21</f>
        <v>16.805505277008397</v>
      </c>
      <c r="I22" t="s">
        <v>355</v>
      </c>
      <c r="J22" s="230">
        <f>J21*J20</f>
        <v>82.7394433775858</v>
      </c>
      <c r="K22" s="230">
        <f>K21*K20</f>
        <v>14.844711697637766</v>
      </c>
    </row>
    <row r="23" spans="2:24" x14ac:dyDescent="0.35">
      <c r="B23" t="s">
        <v>149</v>
      </c>
      <c r="C23" s="822">
        <f>+'Production Requirments'!E20</f>
        <v>1.5</v>
      </c>
      <c r="D23" s="822"/>
      <c r="F23" s="223">
        <f>'Production Requirments'!G20</f>
        <v>1.43</v>
      </c>
      <c r="I23" t="s">
        <v>149</v>
      </c>
      <c r="J23" s="405">
        <f>'Production Requirments'!E35</f>
        <v>1.5</v>
      </c>
      <c r="K23" s="405">
        <f>'Production Requirments'!G35</f>
        <v>1.43</v>
      </c>
    </row>
    <row r="24" spans="2:24" x14ac:dyDescent="0.35">
      <c r="B24" t="s">
        <v>357</v>
      </c>
      <c r="C24" s="823">
        <f>+'Production Requirments'!E21</f>
        <v>224.69091905730181</v>
      </c>
      <c r="D24" s="823"/>
      <c r="F24" s="230">
        <f>(E22+G22)*F23</f>
        <v>123.97309060300493</v>
      </c>
      <c r="I24" t="s">
        <v>357</v>
      </c>
      <c r="J24" s="230">
        <f>J23*J22</f>
        <v>124.10916506637869</v>
      </c>
      <c r="K24" s="230">
        <f>K23*K22</f>
        <v>21.227937727622006</v>
      </c>
    </row>
    <row r="27" spans="2:24" ht="34.5" customHeight="1" x14ac:dyDescent="0.35">
      <c r="B27" s="816" t="s">
        <v>390</v>
      </c>
      <c r="C27" s="816"/>
      <c r="D27" s="816"/>
      <c r="E27" s="816"/>
      <c r="F27" s="816"/>
      <c r="G27" s="816"/>
      <c r="H27" s="816"/>
      <c r="I27" s="816"/>
      <c r="J27" s="816"/>
      <c r="K27" s="816"/>
      <c r="L27" s="816"/>
      <c r="M27" s="816"/>
      <c r="N27" s="816"/>
      <c r="O27" s="816"/>
      <c r="P27" s="816"/>
      <c r="Q27" s="816"/>
      <c r="R27" s="816"/>
      <c r="S27" s="816"/>
      <c r="T27" s="816"/>
      <c r="U27" s="816"/>
      <c r="V27" s="816"/>
      <c r="W27" s="818">
        <f ca="1">K2</f>
        <v>46303</v>
      </c>
      <c r="X27" s="818"/>
    </row>
    <row r="28" spans="2:24" ht="18.75" customHeight="1" x14ac:dyDescent="0.35"/>
    <row r="29" spans="2:24" s="364" customFormat="1" x14ac:dyDescent="0.35">
      <c r="B29" s="802" t="s">
        <v>362</v>
      </c>
      <c r="C29" s="802"/>
      <c r="E29" s="802" t="s">
        <v>363</v>
      </c>
      <c r="F29" s="802"/>
      <c r="H29" s="802" t="s">
        <v>364</v>
      </c>
      <c r="I29" s="802"/>
      <c r="K29" s="802" t="s">
        <v>365</v>
      </c>
      <c r="L29" s="802"/>
    </row>
    <row r="30" spans="2:24" ht="15.5" x14ac:dyDescent="0.35">
      <c r="B30" t="s">
        <v>162</v>
      </c>
      <c r="C30" s="574">
        <f>C24/2</f>
        <v>112.34545952865091</v>
      </c>
      <c r="E30" t="s">
        <v>162</v>
      </c>
      <c r="F30" s="574">
        <f>C24/2</f>
        <v>112.34545952865091</v>
      </c>
      <c r="H30" t="s">
        <v>162</v>
      </c>
      <c r="I30" s="574">
        <f>J24</f>
        <v>124.10916506637869</v>
      </c>
      <c r="K30" t="s">
        <v>162</v>
      </c>
      <c r="L30" s="574">
        <f>F24+K24</f>
        <v>145.20102833062694</v>
      </c>
    </row>
    <row r="31" spans="2:24" ht="15.5" x14ac:dyDescent="0.35">
      <c r="B31" t="s">
        <v>149</v>
      </c>
      <c r="C31" s="575">
        <f>C23</f>
        <v>1.5</v>
      </c>
      <c r="E31" t="s">
        <v>149</v>
      </c>
      <c r="F31" s="575">
        <f>C23</f>
        <v>1.5</v>
      </c>
      <c r="H31" t="s">
        <v>149</v>
      </c>
      <c r="I31" s="575">
        <f>J23</f>
        <v>1.5</v>
      </c>
      <c r="K31" t="s">
        <v>149</v>
      </c>
      <c r="L31" s="575">
        <f>F23</f>
        <v>1.43</v>
      </c>
    </row>
    <row r="32" spans="2:24" ht="15.5" x14ac:dyDescent="0.35">
      <c r="B32" t="s">
        <v>20</v>
      </c>
      <c r="C32" s="574">
        <f>C22/2</f>
        <v>74.896973019100599</v>
      </c>
      <c r="E32" t="s">
        <v>20</v>
      </c>
      <c r="F32" s="574">
        <f>C22/2</f>
        <v>74.896973019100599</v>
      </c>
      <c r="H32" t="s">
        <v>20</v>
      </c>
      <c r="I32" s="574">
        <f>J22</f>
        <v>82.7394433775858</v>
      </c>
      <c r="K32" t="s">
        <v>20</v>
      </c>
      <c r="L32" s="574">
        <f>E22+G22+K22</f>
        <v>101.53918065078807</v>
      </c>
    </row>
    <row r="39" spans="2:21" x14ac:dyDescent="0.35">
      <c r="B39" s="553" t="s">
        <v>20</v>
      </c>
      <c r="C39" s="232">
        <f>C22</f>
        <v>149.7939460382012</v>
      </c>
      <c r="D39" s="550">
        <f>C21</f>
        <v>0.8</v>
      </c>
      <c r="G39" s="554" t="s">
        <v>20</v>
      </c>
      <c r="H39" s="559">
        <f>J22</f>
        <v>82.7394433775858</v>
      </c>
      <c r="I39" s="560">
        <f>J21</f>
        <v>0.8</v>
      </c>
      <c r="K39" s="555" t="s">
        <v>20</v>
      </c>
      <c r="L39" s="230">
        <f>E22</f>
        <v>69.888963676141913</v>
      </c>
      <c r="M39" s="560">
        <f>E21</f>
        <v>0.8</v>
      </c>
      <c r="O39" s="555" t="s">
        <v>20</v>
      </c>
      <c r="P39" s="230">
        <f>K22</f>
        <v>14.844711697637766</v>
      </c>
      <c r="Q39" s="560">
        <f>K21</f>
        <v>0.8</v>
      </c>
      <c r="S39" s="555" t="s">
        <v>20</v>
      </c>
      <c r="T39" s="230">
        <f>G22</f>
        <v>16.805505277008397</v>
      </c>
      <c r="U39" s="560">
        <f>G21</f>
        <v>0.2</v>
      </c>
    </row>
    <row r="40" spans="2:21" x14ac:dyDescent="0.35">
      <c r="B40" s="553" t="s">
        <v>318</v>
      </c>
      <c r="C40" s="532">
        <f>C20-C39</f>
        <v>37.448486509550236</v>
      </c>
      <c r="D40" s="550">
        <f>1-D39</f>
        <v>0.19999999999999996</v>
      </c>
      <c r="G40" s="554" t="s">
        <v>318</v>
      </c>
      <c r="H40" s="559">
        <f>J20-H39</f>
        <v>20.684860844396439</v>
      </c>
      <c r="I40" s="560">
        <f>1-I39</f>
        <v>0.19999999999999996</v>
      </c>
      <c r="K40" s="555" t="s">
        <v>318</v>
      </c>
      <c r="L40" s="230">
        <f>E20-L39</f>
        <v>17.472240919035471</v>
      </c>
      <c r="M40" s="560">
        <f>1-M39</f>
        <v>0.19999999999999996</v>
      </c>
      <c r="O40" s="555" t="s">
        <v>318</v>
      </c>
      <c r="P40" s="230">
        <f>K20-P39</f>
        <v>3.7111779244094407</v>
      </c>
      <c r="Q40" s="560">
        <f>1-Q39</f>
        <v>0.19999999999999996</v>
      </c>
      <c r="S40" s="555" t="s">
        <v>318</v>
      </c>
      <c r="T40" s="230">
        <f>G20-T39</f>
        <v>67.222021108033587</v>
      </c>
      <c r="U40" s="560">
        <f>1-U39</f>
        <v>0.8</v>
      </c>
    </row>
    <row r="41" spans="2:21" ht="46.5" customHeight="1" x14ac:dyDescent="0.35">
      <c r="B41" s="553"/>
      <c r="C41" s="532"/>
      <c r="D41" s="550"/>
    </row>
    <row r="42" spans="2:21" x14ac:dyDescent="0.35">
      <c r="C42" s="819" t="s">
        <v>366</v>
      </c>
      <c r="D42" s="819"/>
      <c r="H42" s="819" t="s">
        <v>366</v>
      </c>
      <c r="I42" s="819"/>
      <c r="K42" s="819" t="s">
        <v>380</v>
      </c>
      <c r="L42" s="819"/>
      <c r="O42" s="819" t="s">
        <v>380</v>
      </c>
      <c r="P42" s="819"/>
      <c r="S42" s="819" t="s">
        <v>381</v>
      </c>
      <c r="T42" s="819"/>
    </row>
    <row r="43" spans="2:21" x14ac:dyDescent="0.35">
      <c r="C43" t="s">
        <v>16</v>
      </c>
      <c r="D43" s="381">
        <f>C20</f>
        <v>187.24243254775143</v>
      </c>
      <c r="H43" t="s">
        <v>16</v>
      </c>
      <c r="I43" s="230">
        <f>J20</f>
        <v>103.42430422198224</v>
      </c>
      <c r="K43" t="s">
        <v>16</v>
      </c>
      <c r="L43" s="232">
        <f>E20</f>
        <v>87.361204595177384</v>
      </c>
      <c r="O43" t="s">
        <v>16</v>
      </c>
      <c r="P43" s="232">
        <f>K20</f>
        <v>18.555889622047207</v>
      </c>
      <c r="S43" t="s">
        <v>16</v>
      </c>
      <c r="T43" s="232">
        <f>G20</f>
        <v>84.02752638504198</v>
      </c>
    </row>
    <row r="44" spans="2:21" x14ac:dyDescent="0.35">
      <c r="C44" t="s">
        <v>193</v>
      </c>
      <c r="D44" s="548">
        <f>Billet!E17%</f>
        <v>0.84930000000000005</v>
      </c>
      <c r="H44" t="s">
        <v>379</v>
      </c>
      <c r="I44" s="548">
        <f>Flat!E17%</f>
        <v>0.85219999999999996</v>
      </c>
      <c r="K44" t="s">
        <v>379</v>
      </c>
      <c r="L44" s="547">
        <f>Billet!F17%</f>
        <v>0.8417</v>
      </c>
      <c r="O44" t="s">
        <v>379</v>
      </c>
      <c r="P44" s="547">
        <f>Flat!F17%</f>
        <v>0.8417</v>
      </c>
      <c r="S44" t="s">
        <v>379</v>
      </c>
      <c r="T44" s="547">
        <f>Billet!G17%</f>
        <v>0.87349999999999994</v>
      </c>
    </row>
    <row r="45" spans="2:21" x14ac:dyDescent="0.35">
      <c r="C45" t="s">
        <v>57</v>
      </c>
      <c r="D45" s="230">
        <f>D44*D43</f>
        <v>159.02499796280532</v>
      </c>
      <c r="H45" t="s">
        <v>57</v>
      </c>
      <c r="I45" s="230">
        <f>I43*I44</f>
        <v>88.138192057973257</v>
      </c>
      <c r="K45" t="s">
        <v>57</v>
      </c>
      <c r="L45" s="232">
        <f>L43*L44</f>
        <v>73.531925907760808</v>
      </c>
      <c r="O45" t="s">
        <v>57</v>
      </c>
      <c r="P45" s="232">
        <f>P43*P44</f>
        <v>15.618492294877134</v>
      </c>
      <c r="S45" t="s">
        <v>57</v>
      </c>
      <c r="T45" s="232">
        <f>T43*T44</f>
        <v>73.398044297334167</v>
      </c>
    </row>
    <row r="47" spans="2:21" ht="28.5" customHeight="1" x14ac:dyDescent="0.35"/>
    <row r="48" spans="2:21" x14ac:dyDescent="0.35">
      <c r="C48" s="819" t="s">
        <v>361</v>
      </c>
      <c r="D48" s="819"/>
      <c r="H48" s="819" t="s">
        <v>377</v>
      </c>
      <c r="I48" s="819"/>
      <c r="K48" s="819" t="s">
        <v>361</v>
      </c>
      <c r="L48" s="819"/>
      <c r="O48" s="819" t="s">
        <v>377</v>
      </c>
      <c r="P48" s="819"/>
      <c r="S48" s="819" t="s">
        <v>361</v>
      </c>
      <c r="T48" s="819"/>
    </row>
    <row r="49" spans="2:24" x14ac:dyDescent="0.35">
      <c r="C49" t="s">
        <v>57</v>
      </c>
      <c r="D49" s="230">
        <f>D45</f>
        <v>159.02499796280532</v>
      </c>
      <c r="H49" t="s">
        <v>57</v>
      </c>
      <c r="I49" s="551">
        <f>I51/I50</f>
        <v>88.138192057973257</v>
      </c>
      <c r="K49" t="s">
        <v>57</v>
      </c>
      <c r="L49" s="230">
        <f>L45</f>
        <v>73.531925907760808</v>
      </c>
      <c r="O49" t="s">
        <v>57</v>
      </c>
      <c r="P49" s="230">
        <f>P45</f>
        <v>15.618492294877134</v>
      </c>
      <c r="S49" t="s">
        <v>57</v>
      </c>
      <c r="T49" s="230">
        <f>T45</f>
        <v>73.398044297334167</v>
      </c>
    </row>
    <row r="50" spans="2:24" x14ac:dyDescent="0.35">
      <c r="C50" t="s">
        <v>205</v>
      </c>
      <c r="D50" s="548">
        <f>Billet!E18%</f>
        <v>0.99379999999999991</v>
      </c>
      <c r="H50" t="s">
        <v>378</v>
      </c>
      <c r="I50" s="556">
        <f>Flat!E18%</f>
        <v>0.98730000000000007</v>
      </c>
      <c r="K50" t="s">
        <v>205</v>
      </c>
      <c r="L50" s="548">
        <f>Billet!F18%</f>
        <v>0.98049999999999993</v>
      </c>
      <c r="O50" t="s">
        <v>253</v>
      </c>
      <c r="P50" s="548">
        <f>Flat!F18%</f>
        <v>0.98</v>
      </c>
      <c r="S50" t="s">
        <v>205</v>
      </c>
      <c r="T50" s="548">
        <f>Billet!G18%</f>
        <v>0.98499999999999999</v>
      </c>
    </row>
    <row r="51" spans="2:24" x14ac:dyDescent="0.35">
      <c r="C51" t="s">
        <v>310</v>
      </c>
      <c r="D51" s="230">
        <f>D49*D50</f>
        <v>158.0390429754359</v>
      </c>
      <c r="H51" t="s">
        <v>373</v>
      </c>
      <c r="I51" s="551">
        <f>J18</f>
        <v>87.018837018837004</v>
      </c>
      <c r="K51" t="s">
        <v>310</v>
      </c>
      <c r="L51" s="230">
        <f>L49*L50</f>
        <v>72.098053352559461</v>
      </c>
      <c r="O51" t="s">
        <v>373</v>
      </c>
      <c r="P51" s="230">
        <f>P49*P50</f>
        <v>15.306122448979592</v>
      </c>
      <c r="S51" t="s">
        <v>310</v>
      </c>
      <c r="T51" s="230">
        <f>T49*T50</f>
        <v>72.297073632874159</v>
      </c>
    </row>
    <row r="55" spans="2:24" x14ac:dyDescent="0.35">
      <c r="B55" s="821" t="s">
        <v>367</v>
      </c>
      <c r="C55" s="821"/>
      <c r="E55" s="819" t="s">
        <v>368</v>
      </c>
      <c r="F55" s="819"/>
      <c r="H55" s="819" t="s">
        <v>382</v>
      </c>
      <c r="I55" s="819"/>
      <c r="K55" s="815" t="s">
        <v>383</v>
      </c>
      <c r="L55" s="815"/>
      <c r="O55" s="815" t="s">
        <v>384</v>
      </c>
      <c r="P55" s="815"/>
      <c r="S55" s="815" t="s">
        <v>385</v>
      </c>
      <c r="T55" s="815"/>
      <c r="W55" s="815" t="s">
        <v>387</v>
      </c>
      <c r="X55" s="815"/>
    </row>
    <row r="56" spans="2:24" x14ac:dyDescent="0.35">
      <c r="B56" s="554" t="s">
        <v>310</v>
      </c>
      <c r="C56" s="551">
        <f>C58/C57</f>
        <v>106.81478316599016</v>
      </c>
      <c r="E56" t="s">
        <v>310</v>
      </c>
      <c r="F56" s="230">
        <f>F58/F57</f>
        <v>51.224259809445755</v>
      </c>
      <c r="H56" t="s">
        <v>373</v>
      </c>
      <c r="I56" s="551">
        <f>I51</f>
        <v>87.018837018837004</v>
      </c>
      <c r="K56" s="554" t="s">
        <v>310</v>
      </c>
      <c r="L56" s="551">
        <f>L51</f>
        <v>72.098053352559461</v>
      </c>
      <c r="O56" s="554" t="s">
        <v>310</v>
      </c>
      <c r="P56" s="231">
        <f>P51</f>
        <v>15.306122448979592</v>
      </c>
      <c r="S56" s="554" t="s">
        <v>310</v>
      </c>
      <c r="T56" s="551">
        <f>T51</f>
        <v>72.297073632874159</v>
      </c>
      <c r="W56" s="554" t="s">
        <v>386</v>
      </c>
      <c r="X56" s="551">
        <f>F18</f>
        <v>30.637920571320606</v>
      </c>
    </row>
    <row r="57" spans="2:24" x14ac:dyDescent="0.35">
      <c r="B57" s="554" t="s">
        <v>237</v>
      </c>
      <c r="C57" s="556">
        <f>Rebar!E6%</f>
        <v>0.93620000000000003</v>
      </c>
      <c r="E57" t="s">
        <v>369</v>
      </c>
      <c r="F57" s="557">
        <f>Wire!E6%</f>
        <v>0.97609999999999997</v>
      </c>
      <c r="H57" t="s">
        <v>254</v>
      </c>
      <c r="I57" s="558">
        <f>J17</f>
        <v>0.97680000000000011</v>
      </c>
      <c r="K57" s="554" t="s">
        <v>237</v>
      </c>
      <c r="L57" s="556">
        <f>E17</f>
        <v>0.97089999999999999</v>
      </c>
      <c r="O57" s="554" t="s">
        <v>254</v>
      </c>
      <c r="P57" s="556">
        <f>K17</f>
        <v>0.98</v>
      </c>
      <c r="S57" s="554" t="s">
        <v>237</v>
      </c>
      <c r="T57" s="556">
        <f>Rebar!H6%</f>
        <v>0.96822729444709299</v>
      </c>
      <c r="W57" s="554" t="s">
        <v>237</v>
      </c>
      <c r="X57" s="556">
        <f>F17</f>
        <v>0.97917872494526448</v>
      </c>
    </row>
    <row r="58" spans="2:24" x14ac:dyDescent="0.35">
      <c r="B58" s="554" t="s">
        <v>97</v>
      </c>
      <c r="C58" s="544">
        <f>C10</f>
        <v>100</v>
      </c>
      <c r="E58" t="s">
        <v>286</v>
      </c>
      <c r="F58" s="381">
        <f>D10</f>
        <v>50</v>
      </c>
      <c r="H58" t="s">
        <v>287</v>
      </c>
      <c r="I58" s="544">
        <f>I56*I57</f>
        <v>85</v>
      </c>
      <c r="K58" s="554" t="s">
        <v>97</v>
      </c>
      <c r="L58" s="544">
        <f>L56*L57</f>
        <v>69.999999999999986</v>
      </c>
      <c r="O58" s="554" t="s">
        <v>287</v>
      </c>
      <c r="P58" s="561">
        <f>P56*P57</f>
        <v>15</v>
      </c>
      <c r="S58" s="554" t="s">
        <v>97</v>
      </c>
      <c r="T58" s="544">
        <f>T56*T57</f>
        <v>70.000000000000014</v>
      </c>
      <c r="W58" s="554" t="s">
        <v>97</v>
      </c>
      <c r="X58" s="544">
        <f>X56*X57</f>
        <v>30</v>
      </c>
    </row>
    <row r="60" spans="2:24" x14ac:dyDescent="0.35">
      <c r="B60" s="820" t="s">
        <v>303</v>
      </c>
      <c r="C60" s="820"/>
      <c r="E60" s="819" t="s">
        <v>303</v>
      </c>
      <c r="F60" s="819"/>
      <c r="H60" s="819" t="s">
        <v>303</v>
      </c>
      <c r="I60" s="819"/>
      <c r="K60" s="815" t="s">
        <v>303</v>
      </c>
      <c r="L60" s="815"/>
      <c r="O60" s="819" t="s">
        <v>303</v>
      </c>
      <c r="P60" s="819"/>
      <c r="S60" s="815" t="s">
        <v>303</v>
      </c>
      <c r="T60" s="815"/>
      <c r="W60" s="815" t="s">
        <v>303</v>
      </c>
      <c r="X60" s="815"/>
    </row>
    <row r="61" spans="2:24" x14ac:dyDescent="0.35">
      <c r="B61" s="554" t="s">
        <v>101</v>
      </c>
      <c r="C61" s="544">
        <f>C6</f>
        <v>100</v>
      </c>
      <c r="E61" s="554" t="s">
        <v>101</v>
      </c>
      <c r="F61" s="544">
        <f>D6</f>
        <v>40</v>
      </c>
      <c r="H61" t="s">
        <v>101</v>
      </c>
      <c r="I61" s="381">
        <f>J6</f>
        <v>45</v>
      </c>
      <c r="K61" s="554" t="s">
        <v>101</v>
      </c>
      <c r="L61" s="544">
        <f>L58</f>
        <v>69.999999999999986</v>
      </c>
      <c r="O61" t="s">
        <v>101</v>
      </c>
      <c r="P61" s="562">
        <f>K6</f>
        <v>7.5</v>
      </c>
      <c r="S61" s="554" t="s">
        <v>101</v>
      </c>
      <c r="T61" s="544">
        <f>T58</f>
        <v>70.000000000000014</v>
      </c>
      <c r="W61" s="554" t="s">
        <v>101</v>
      </c>
      <c r="X61" s="544">
        <f>X58</f>
        <v>30</v>
      </c>
    </row>
    <row r="62" spans="2:24" x14ac:dyDescent="0.35">
      <c r="B62" s="554" t="s">
        <v>370</v>
      </c>
      <c r="C62" s="544">
        <f>C7</f>
        <v>9300</v>
      </c>
      <c r="E62" s="554" t="s">
        <v>370</v>
      </c>
      <c r="F62" s="544">
        <f>D7</f>
        <v>9075</v>
      </c>
      <c r="H62" s="554" t="s">
        <v>370</v>
      </c>
      <c r="I62" s="381">
        <f>J7</f>
        <v>8900</v>
      </c>
      <c r="K62" s="554" t="s">
        <v>370</v>
      </c>
      <c r="L62" s="544">
        <f>E7</f>
        <v>9300</v>
      </c>
      <c r="O62" s="554" t="s">
        <v>370</v>
      </c>
      <c r="P62" s="381">
        <f>K7</f>
        <v>8900</v>
      </c>
      <c r="S62" s="554" t="s">
        <v>370</v>
      </c>
      <c r="T62" s="544">
        <f>G7</f>
        <v>9300</v>
      </c>
      <c r="W62" s="554" t="s">
        <v>370</v>
      </c>
      <c r="X62" s="544">
        <f>F11</f>
        <v>9300</v>
      </c>
    </row>
    <row r="63" spans="2:24" x14ac:dyDescent="0.35">
      <c r="E63" s="553" t="s">
        <v>371</v>
      </c>
      <c r="F63" s="544">
        <f>D8</f>
        <v>10</v>
      </c>
      <c r="H63" s="553" t="s">
        <v>371</v>
      </c>
      <c r="I63" s="381">
        <f>J8</f>
        <v>40</v>
      </c>
      <c r="O63" s="553" t="s">
        <v>371</v>
      </c>
      <c r="P63" s="562">
        <f>K8</f>
        <v>7.5</v>
      </c>
    </row>
    <row r="64" spans="2:24" x14ac:dyDescent="0.35">
      <c r="E64" s="554" t="s">
        <v>372</v>
      </c>
      <c r="F64" s="544">
        <f>D9</f>
        <v>480</v>
      </c>
      <c r="H64" s="554" t="s">
        <v>372</v>
      </c>
      <c r="I64" s="381">
        <f>J9</f>
        <v>510</v>
      </c>
      <c r="O64" s="554" t="s">
        <v>372</v>
      </c>
      <c r="P64" s="381">
        <f>K9</f>
        <v>510</v>
      </c>
    </row>
  </sheetData>
  <mergeCells count="39">
    <mergeCell ref="C4:D4"/>
    <mergeCell ref="C20:D20"/>
    <mergeCell ref="K29:L29"/>
    <mergeCell ref="H29:I29"/>
    <mergeCell ref="E29:F29"/>
    <mergeCell ref="B29:C29"/>
    <mergeCell ref="C16:D16"/>
    <mergeCell ref="C19:D19"/>
    <mergeCell ref="C21:D21"/>
    <mergeCell ref="C22:D22"/>
    <mergeCell ref="K42:L42"/>
    <mergeCell ref="K48:L48"/>
    <mergeCell ref="K55:L55"/>
    <mergeCell ref="C23:D23"/>
    <mergeCell ref="C24:D24"/>
    <mergeCell ref="H55:I55"/>
    <mergeCell ref="H48:I48"/>
    <mergeCell ref="H42:I42"/>
    <mergeCell ref="H60:I60"/>
    <mergeCell ref="C42:D42"/>
    <mergeCell ref="C48:D48"/>
    <mergeCell ref="B55:C55"/>
    <mergeCell ref="E55:F55"/>
    <mergeCell ref="W55:X55"/>
    <mergeCell ref="W60:X60"/>
    <mergeCell ref="B27:V27"/>
    <mergeCell ref="B2:J2"/>
    <mergeCell ref="W27:X27"/>
    <mergeCell ref="O42:P42"/>
    <mergeCell ref="O48:P48"/>
    <mergeCell ref="O55:P55"/>
    <mergeCell ref="K60:L60"/>
    <mergeCell ref="O60:P60"/>
    <mergeCell ref="S42:T42"/>
    <mergeCell ref="S48:T48"/>
    <mergeCell ref="S55:T55"/>
    <mergeCell ref="S60:T60"/>
    <mergeCell ref="B60:C60"/>
    <mergeCell ref="E60:F60"/>
  </mergeCells>
  <pageMargins left="0.25" right="0.25" top="0.75" bottom="0.75" header="0.3" footer="0.3"/>
  <pageSetup paperSize="9" scale="44" orientation="landscape" horizontalDpi="4294967295" verticalDpi="4294967295" r:id="rId1"/>
  <headerFooter>
    <oddFooter>&amp;C&amp;1#&amp;"Calibri"&amp;10&amp;K737373EZDK Business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F36"/>
  <sheetViews>
    <sheetView workbookViewId="0">
      <selection activeCell="A3" sqref="A3:XFD3"/>
    </sheetView>
  </sheetViews>
  <sheetFormatPr defaultRowHeight="14.5" x14ac:dyDescent="0.35"/>
  <cols>
    <col min="2" max="2" width="32" bestFit="1" customWidth="1"/>
  </cols>
  <sheetData>
    <row r="1" spans="2:6" x14ac:dyDescent="0.35">
      <c r="C1" s="819">
        <v>2019</v>
      </c>
      <c r="D1" s="819"/>
      <c r="E1" s="819"/>
      <c r="F1" s="819"/>
    </row>
    <row r="2" spans="2:6" x14ac:dyDescent="0.35">
      <c r="C2" t="s">
        <v>177</v>
      </c>
      <c r="D2" t="s">
        <v>198</v>
      </c>
      <c r="E2" t="s">
        <v>179</v>
      </c>
      <c r="F2" t="s">
        <v>199</v>
      </c>
    </row>
    <row r="4" spans="2:6" x14ac:dyDescent="0.35">
      <c r="B4" t="s">
        <v>397</v>
      </c>
    </row>
    <row r="5" spans="2:6" x14ac:dyDescent="0.35">
      <c r="B5" t="s">
        <v>398</v>
      </c>
    </row>
    <row r="6" spans="2:6" x14ac:dyDescent="0.35">
      <c r="B6" t="s">
        <v>399</v>
      </c>
    </row>
    <row r="7" spans="2:6" x14ac:dyDescent="0.35">
      <c r="B7" t="s">
        <v>400</v>
      </c>
    </row>
    <row r="8" spans="2:6" x14ac:dyDescent="0.35">
      <c r="B8" t="s">
        <v>401</v>
      </c>
    </row>
    <row r="9" spans="2:6" x14ac:dyDescent="0.35">
      <c r="B9" t="s">
        <v>402</v>
      </c>
    </row>
    <row r="10" spans="2:6" x14ac:dyDescent="0.35">
      <c r="B10" t="s">
        <v>403</v>
      </c>
    </row>
    <row r="11" spans="2:6" x14ac:dyDescent="0.35">
      <c r="B11" t="s">
        <v>404</v>
      </c>
    </row>
    <row r="12" spans="2:6" x14ac:dyDescent="0.35">
      <c r="B12" t="s">
        <v>405</v>
      </c>
    </row>
    <row r="13" spans="2:6" x14ac:dyDescent="0.35">
      <c r="B13" t="s">
        <v>425</v>
      </c>
    </row>
    <row r="15" spans="2:6" x14ac:dyDescent="0.35">
      <c r="B15" t="s">
        <v>406</v>
      </c>
    </row>
    <row r="16" spans="2:6" x14ac:dyDescent="0.35">
      <c r="B16" t="s">
        <v>407</v>
      </c>
    </row>
    <row r="17" spans="2:2" x14ac:dyDescent="0.35">
      <c r="B17" t="s">
        <v>408</v>
      </c>
    </row>
    <row r="18" spans="2:2" x14ac:dyDescent="0.35">
      <c r="B18" t="s">
        <v>409</v>
      </c>
    </row>
    <row r="19" spans="2:2" x14ac:dyDescent="0.35">
      <c r="B19" t="s">
        <v>410</v>
      </c>
    </row>
    <row r="20" spans="2:2" x14ac:dyDescent="0.35">
      <c r="B20" t="s">
        <v>411</v>
      </c>
    </row>
    <row r="21" spans="2:2" x14ac:dyDescent="0.35">
      <c r="B21" t="s">
        <v>412</v>
      </c>
    </row>
    <row r="22" spans="2:2" x14ac:dyDescent="0.35">
      <c r="B22" t="s">
        <v>413</v>
      </c>
    </row>
    <row r="23" spans="2:2" x14ac:dyDescent="0.35">
      <c r="B23" t="s">
        <v>414</v>
      </c>
    </row>
    <row r="24" spans="2:2" x14ac:dyDescent="0.35">
      <c r="B24" t="s">
        <v>415</v>
      </c>
    </row>
    <row r="25" spans="2:2" x14ac:dyDescent="0.35">
      <c r="B25" t="s">
        <v>416</v>
      </c>
    </row>
    <row r="26" spans="2:2" x14ac:dyDescent="0.35">
      <c r="B26" t="s">
        <v>417</v>
      </c>
    </row>
    <row r="27" spans="2:2" x14ac:dyDescent="0.35">
      <c r="B27" t="s">
        <v>418</v>
      </c>
    </row>
    <row r="28" spans="2:2" x14ac:dyDescent="0.35">
      <c r="B28" t="s">
        <v>426</v>
      </c>
    </row>
    <row r="30" spans="2:2" x14ac:dyDescent="0.35">
      <c r="B30" t="s">
        <v>419</v>
      </c>
    </row>
    <row r="31" spans="2:2" x14ac:dyDescent="0.35">
      <c r="B31" t="s">
        <v>420</v>
      </c>
    </row>
    <row r="32" spans="2:2" x14ac:dyDescent="0.35">
      <c r="B32" t="s">
        <v>421</v>
      </c>
    </row>
    <row r="33" spans="2:2" x14ac:dyDescent="0.35">
      <c r="B33" t="s">
        <v>422</v>
      </c>
    </row>
    <row r="34" spans="2:2" x14ac:dyDescent="0.35">
      <c r="B34" t="s">
        <v>423</v>
      </c>
    </row>
    <row r="35" spans="2:2" x14ac:dyDescent="0.35">
      <c r="B35" t="s">
        <v>424</v>
      </c>
    </row>
    <row r="36" spans="2:2" x14ac:dyDescent="0.35">
      <c r="B36" t="s">
        <v>427</v>
      </c>
    </row>
  </sheetData>
  <mergeCells count="1">
    <mergeCell ref="C1:F1"/>
  </mergeCells>
  <pageMargins left="0.7" right="0.7" top="0.75" bottom="0.75" header="0.3" footer="0.3"/>
  <pageSetup orientation="portrait" horizontalDpi="4294967295" verticalDpi="4294967295" r:id="rId1"/>
  <headerFooter>
    <oddFooter>&amp;C&amp;1#&amp;"Calibri"&amp;10&amp;K737373EZDK Business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T33"/>
  <sheetViews>
    <sheetView showGridLines="0" showWhiteSpace="0" view="pageLayout" zoomScaleNormal="145" zoomScaleSheetLayoutView="130" workbookViewId="0">
      <selection activeCell="J20" sqref="J20"/>
    </sheetView>
  </sheetViews>
  <sheetFormatPr defaultRowHeight="14.5" x14ac:dyDescent="0.35"/>
  <cols>
    <col min="2" max="2" width="27.81640625" bestFit="1" customWidth="1"/>
    <col min="3" max="3" width="5.26953125" style="226" customWidth="1"/>
    <col min="4" max="4" width="5.1796875" style="226" customWidth="1"/>
    <col min="5" max="5" width="13.7265625" customWidth="1"/>
    <col min="6" max="6" width="17.81640625" hidden="1" customWidth="1"/>
    <col min="7" max="7" width="14.54296875" hidden="1" customWidth="1"/>
    <col min="8" max="8" width="0" hidden="1" customWidth="1"/>
    <col min="9" max="9" width="5.1796875" customWidth="1"/>
    <col min="10" max="10" width="15.7265625" customWidth="1"/>
    <col min="11" max="11" width="5.1796875" customWidth="1"/>
    <col min="12" max="12" width="13.7265625" customWidth="1"/>
    <col min="13" max="13" width="9.1796875" hidden="1" customWidth="1"/>
    <col min="14" max="14" width="17.1796875" hidden="1" customWidth="1"/>
    <col min="15" max="15" width="5.1796875" customWidth="1"/>
    <col min="16" max="16" width="13.7265625" customWidth="1"/>
    <col min="17" max="17" width="7" customWidth="1"/>
    <col min="18" max="18" width="13.7265625" customWidth="1"/>
    <col min="20" max="20" width="0" hidden="1" customWidth="1"/>
  </cols>
  <sheetData>
    <row r="1" spans="1:20" s="368" customFormat="1" ht="15" thickBot="1" x14ac:dyDescent="0.4">
      <c r="B1" s="837" t="s">
        <v>230</v>
      </c>
      <c r="C1" s="839" t="s">
        <v>234</v>
      </c>
      <c r="D1" s="628"/>
      <c r="E1" s="831" t="s">
        <v>450</v>
      </c>
      <c r="F1" s="832"/>
      <c r="G1" s="832"/>
      <c r="H1" s="832"/>
      <c r="I1" s="832"/>
      <c r="J1" s="832"/>
      <c r="K1" s="832"/>
      <c r="L1" s="833"/>
      <c r="P1" s="834" t="s">
        <v>453</v>
      </c>
      <c r="Q1" s="835"/>
      <c r="R1" s="836"/>
    </row>
    <row r="2" spans="1:20" s="384" customFormat="1" ht="28.5" customHeight="1" x14ac:dyDescent="0.35">
      <c r="B2" s="838"/>
      <c r="C2" s="840"/>
      <c r="D2" s="628"/>
      <c r="E2" s="605" t="s">
        <v>451</v>
      </c>
      <c r="J2" s="605" t="s">
        <v>458</v>
      </c>
      <c r="L2" s="605" t="s">
        <v>460</v>
      </c>
      <c r="P2" s="618" t="s">
        <v>452</v>
      </c>
      <c r="R2" s="618" t="s">
        <v>463</v>
      </c>
    </row>
    <row r="3" spans="1:20" x14ac:dyDescent="0.35">
      <c r="B3" s="602" t="s">
        <v>449</v>
      </c>
      <c r="C3" s="595"/>
      <c r="E3" s="606">
        <f>'Fixed Cost'!D15</f>
        <v>16.2</v>
      </c>
      <c r="J3" s="606">
        <f>E3</f>
        <v>16.2</v>
      </c>
      <c r="L3" s="606">
        <f>J3</f>
        <v>16.2</v>
      </c>
      <c r="P3" s="606">
        <f>L3</f>
        <v>16.2</v>
      </c>
      <c r="R3" s="606">
        <f>P3</f>
        <v>16.2</v>
      </c>
    </row>
    <row r="4" spans="1:20" x14ac:dyDescent="0.35">
      <c r="B4" s="590" t="s">
        <v>436</v>
      </c>
      <c r="C4" s="596" t="s">
        <v>454</v>
      </c>
      <c r="D4" s="224"/>
      <c r="E4" s="607">
        <v>3000000</v>
      </c>
      <c r="F4" s="532"/>
      <c r="G4" s="532"/>
      <c r="H4" s="532"/>
      <c r="I4" s="532"/>
      <c r="J4" s="607">
        <f>E4</f>
        <v>3000000</v>
      </c>
      <c r="K4" s="532"/>
      <c r="L4" s="607">
        <v>1200000</v>
      </c>
      <c r="M4" s="532"/>
      <c r="N4" s="532"/>
      <c r="O4" s="532"/>
      <c r="P4" s="607">
        <f>70*12*1000</f>
        <v>840000</v>
      </c>
      <c r="Q4" s="532"/>
      <c r="R4" s="607">
        <f>P4</f>
        <v>840000</v>
      </c>
    </row>
    <row r="5" spans="1:20" x14ac:dyDescent="0.35">
      <c r="B5" s="590" t="s">
        <v>429</v>
      </c>
      <c r="C5" s="596" t="s">
        <v>186</v>
      </c>
      <c r="D5" s="224"/>
      <c r="E5" s="606">
        <v>130</v>
      </c>
      <c r="J5" s="606">
        <f>E5</f>
        <v>130</v>
      </c>
      <c r="L5" s="606">
        <f>J5</f>
        <v>130</v>
      </c>
      <c r="P5" s="606"/>
      <c r="R5" s="606"/>
    </row>
    <row r="6" spans="1:20" x14ac:dyDescent="0.35">
      <c r="B6" s="590" t="s">
        <v>149</v>
      </c>
      <c r="C6" s="596" t="s">
        <v>455</v>
      </c>
      <c r="D6" s="224"/>
      <c r="E6" s="606">
        <v>1.5</v>
      </c>
      <c r="J6" s="606">
        <f>E6</f>
        <v>1.5</v>
      </c>
      <c r="L6" s="606">
        <f>J6</f>
        <v>1.5</v>
      </c>
      <c r="P6" s="606"/>
      <c r="R6" s="606"/>
    </row>
    <row r="7" spans="1:20" x14ac:dyDescent="0.35">
      <c r="B7" s="590" t="s">
        <v>437</v>
      </c>
      <c r="C7" s="596" t="s">
        <v>186</v>
      </c>
      <c r="D7" s="224"/>
      <c r="E7" s="608">
        <f>DRI!E19</f>
        <v>67.421286375661396</v>
      </c>
      <c r="J7" s="608">
        <f>E7</f>
        <v>67.421286375661396</v>
      </c>
      <c r="L7" s="608">
        <f>J7</f>
        <v>67.421286375661396</v>
      </c>
      <c r="P7" s="606"/>
      <c r="R7" s="606"/>
    </row>
    <row r="8" spans="1:20" x14ac:dyDescent="0.35">
      <c r="B8" s="590" t="s">
        <v>428</v>
      </c>
      <c r="C8" s="596" t="s">
        <v>186</v>
      </c>
      <c r="D8" s="224"/>
      <c r="E8" s="609">
        <f>E5*E6+E7</f>
        <v>262.4212863756614</v>
      </c>
      <c r="F8" s="587"/>
      <c r="G8" s="587"/>
      <c r="H8" s="587"/>
      <c r="I8" s="587"/>
      <c r="J8" s="609">
        <f>J5*J6+J7</f>
        <v>262.4212863756614</v>
      </c>
      <c r="K8" s="587"/>
      <c r="L8" s="609">
        <f>L5*L6+L7</f>
        <v>262.4212863756614</v>
      </c>
      <c r="P8" s="606"/>
      <c r="R8" s="606"/>
    </row>
    <row r="9" spans="1:20" x14ac:dyDescent="0.35">
      <c r="B9" s="590"/>
      <c r="C9" s="596"/>
      <c r="D9" s="224"/>
      <c r="E9" s="606"/>
      <c r="J9" s="606"/>
      <c r="L9" s="606"/>
      <c r="P9" s="606"/>
      <c r="R9" s="606"/>
    </row>
    <row r="10" spans="1:20" x14ac:dyDescent="0.35">
      <c r="B10" s="590" t="s">
        <v>430</v>
      </c>
      <c r="C10" s="596" t="s">
        <v>186</v>
      </c>
      <c r="D10" s="224"/>
      <c r="E10" s="610">
        <f>E8*E11/(E13*E14)</f>
        <v>265.68087551846747</v>
      </c>
      <c r="J10" s="610">
        <f>E10</f>
        <v>265.68087551846747</v>
      </c>
      <c r="L10" s="610">
        <f t="shared" ref="L10:L15" si="0">J10</f>
        <v>265.68087551846747</v>
      </c>
      <c r="P10" s="606"/>
      <c r="R10" s="606"/>
    </row>
    <row r="11" spans="1:20" x14ac:dyDescent="0.35">
      <c r="B11" s="590" t="s">
        <v>438</v>
      </c>
      <c r="C11" s="597" t="s">
        <v>5</v>
      </c>
      <c r="D11" s="626"/>
      <c r="E11" s="611">
        <v>0.8</v>
      </c>
      <c r="J11" s="611">
        <f>E11</f>
        <v>0.8</v>
      </c>
      <c r="L11" s="611">
        <f t="shared" si="0"/>
        <v>0.8</v>
      </c>
      <c r="P11" s="611">
        <v>0</v>
      </c>
      <c r="Q11" s="588"/>
      <c r="R11" s="611">
        <v>0</v>
      </c>
    </row>
    <row r="12" spans="1:20" x14ac:dyDescent="0.35">
      <c r="B12" s="590" t="s">
        <v>431</v>
      </c>
      <c r="C12" s="596" t="s">
        <v>186</v>
      </c>
      <c r="D12" s="224"/>
      <c r="E12" s="612">
        <f>300*(1-E11)/(E13*E14)</f>
        <v>75.931590531724211</v>
      </c>
      <c r="J12" s="612">
        <f>300*(1-J11)/(J13*J14)</f>
        <v>75.931590531724211</v>
      </c>
      <c r="L12" s="612">
        <f t="shared" si="0"/>
        <v>75.931590531724211</v>
      </c>
      <c r="P12" s="612">
        <f>300*(1-P11)/(P13*P14)</f>
        <v>360.11797022160852</v>
      </c>
      <c r="R12" s="612">
        <f>300*(1-R11)/(R13*R14)</f>
        <v>360.11797022160852</v>
      </c>
    </row>
    <row r="13" spans="1:20" x14ac:dyDescent="0.35">
      <c r="B13" s="590" t="s">
        <v>439</v>
      </c>
      <c r="C13" s="596" t="s">
        <v>5</v>
      </c>
      <c r="D13" s="224"/>
      <c r="E13" s="613">
        <f>Billet!E17*Billet!E18/10000</f>
        <v>0.84403433999999999</v>
      </c>
      <c r="F13" s="589"/>
      <c r="J13" s="613">
        <f>E13</f>
        <v>0.84403433999999999</v>
      </c>
      <c r="L13" s="613">
        <f t="shared" si="0"/>
        <v>0.84403433999999999</v>
      </c>
      <c r="P13" s="613">
        <f>Billet!G17*Billet!G18/10000</f>
        <v>0.86039749999999982</v>
      </c>
      <c r="R13" s="613">
        <f>P13</f>
        <v>0.86039749999999982</v>
      </c>
    </row>
    <row r="14" spans="1:20" x14ac:dyDescent="0.35">
      <c r="B14" s="590" t="s">
        <v>440</v>
      </c>
      <c r="C14" s="596" t="s">
        <v>5</v>
      </c>
      <c r="D14" s="224"/>
      <c r="E14" s="613">
        <f>Rebar!E6/100</f>
        <v>0.93620000000000003</v>
      </c>
      <c r="J14" s="613">
        <f>E14</f>
        <v>0.93620000000000003</v>
      </c>
      <c r="L14" s="613">
        <f t="shared" si="0"/>
        <v>0.93620000000000003</v>
      </c>
      <c r="P14" s="613">
        <f>Rebar!H6/100</f>
        <v>0.96822729444709299</v>
      </c>
      <c r="R14" s="613">
        <f>P14</f>
        <v>0.96822729444709299</v>
      </c>
    </row>
    <row r="15" spans="1:20" ht="15" thickBot="1" x14ac:dyDescent="0.4">
      <c r="B15" s="590" t="s">
        <v>432</v>
      </c>
      <c r="C15" s="596" t="s">
        <v>186</v>
      </c>
      <c r="D15" s="224"/>
      <c r="E15" s="610">
        <f>Billet!E27+Rebar!E16+Rebar!E15</f>
        <v>119.437077900822</v>
      </c>
      <c r="J15" s="610">
        <f>E15</f>
        <v>119.437077900822</v>
      </c>
      <c r="L15" s="610">
        <f t="shared" si="0"/>
        <v>119.437077900822</v>
      </c>
      <c r="P15" s="608">
        <f>Billet!G27+Rebar!H16+Rebar!H15</f>
        <v>127.7212976664876</v>
      </c>
      <c r="R15" s="608">
        <f>P15</f>
        <v>127.7212976664876</v>
      </c>
    </row>
    <row r="16" spans="1:20" ht="15" thickBot="1" x14ac:dyDescent="0.4">
      <c r="A16" t="s">
        <v>445</v>
      </c>
      <c r="B16" s="355" t="s">
        <v>441</v>
      </c>
      <c r="C16" s="599" t="s">
        <v>186</v>
      </c>
      <c r="D16" s="384"/>
      <c r="E16" s="600">
        <f>E15+E12+E10</f>
        <v>461.04954395101367</v>
      </c>
      <c r="F16" s="583">
        <f>E16*E3</f>
        <v>7469.0026120064213</v>
      </c>
      <c r="G16">
        <v>7361</v>
      </c>
      <c r="H16" s="582">
        <f>F16-G16</f>
        <v>108.00261200642126</v>
      </c>
      <c r="I16" s="582"/>
      <c r="J16" s="600">
        <f>J15+J12+J10</f>
        <v>461.04954395101367</v>
      </c>
      <c r="L16" s="600">
        <f>L15+L12+L10</f>
        <v>461.04954395101367</v>
      </c>
      <c r="N16" s="583">
        <f>L16+L18+L19</f>
        <v>506.6255439510137</v>
      </c>
      <c r="P16" s="601">
        <f>P15+P12+P10</f>
        <v>487.83926788809612</v>
      </c>
      <c r="R16" s="601">
        <f>R15+R12+R10</f>
        <v>487.83926788809612</v>
      </c>
      <c r="T16" s="591">
        <f>R16+R18+R19</f>
        <v>536.4392678880962</v>
      </c>
    </row>
    <row r="17" spans="1:20" hidden="1" x14ac:dyDescent="0.35">
      <c r="B17" s="590"/>
      <c r="C17" s="596"/>
      <c r="D17" s="224"/>
      <c r="E17" s="606"/>
      <c r="J17" s="606"/>
      <c r="L17" s="606"/>
      <c r="N17" s="581">
        <f>L4</f>
        <v>1200000</v>
      </c>
      <c r="P17" s="606"/>
      <c r="R17" s="606"/>
      <c r="T17" s="592">
        <f>R4</f>
        <v>840000</v>
      </c>
    </row>
    <row r="18" spans="1:20" x14ac:dyDescent="0.35">
      <c r="A18" t="s">
        <v>444</v>
      </c>
      <c r="B18" s="590" t="s">
        <v>433</v>
      </c>
      <c r="C18" s="596" t="s">
        <v>186</v>
      </c>
      <c r="D18" s="224"/>
      <c r="E18" s="614">
        <f>'P&amp;L $ Annual'!H31*1000000/E4</f>
        <v>39.72</v>
      </c>
      <c r="J18" s="614">
        <f>E18</f>
        <v>39.72</v>
      </c>
      <c r="L18" s="614">
        <f>J18</f>
        <v>39.72</v>
      </c>
      <c r="N18" s="581">
        <f>N17*N16</f>
        <v>607950652.74121642</v>
      </c>
      <c r="P18" s="619">
        <f>'Fixed Cost'!G7*1000000*12/$P$4</f>
        <v>35</v>
      </c>
      <c r="R18" s="619">
        <f>P18</f>
        <v>35</v>
      </c>
      <c r="T18" s="592">
        <f>T17*T16</f>
        <v>450608985.0260008</v>
      </c>
    </row>
    <row r="19" spans="1:20" x14ac:dyDescent="0.35">
      <c r="B19" s="590" t="s">
        <v>267</v>
      </c>
      <c r="C19" s="596" t="s">
        <v>186</v>
      </c>
      <c r="D19" s="224"/>
      <c r="E19" s="614">
        <f>'P&amp;L $ Annual'!H32*1000000/E4</f>
        <v>14.64</v>
      </c>
      <c r="J19" s="614">
        <f>E19</f>
        <v>14.64</v>
      </c>
      <c r="L19" s="620">
        <f>J19*40%</f>
        <v>5.8560000000000008</v>
      </c>
      <c r="N19" s="581">
        <f>N18*L3</f>
        <v>9848800574.4077053</v>
      </c>
      <c r="P19" s="619">
        <f>'Fixed Cost'!G8*1000000*12/$P$4</f>
        <v>34</v>
      </c>
      <c r="R19" s="621">
        <f>P19*40%</f>
        <v>13.600000000000001</v>
      </c>
      <c r="T19" s="592">
        <f>T18*R3</f>
        <v>7299865557.4212122</v>
      </c>
    </row>
    <row r="20" spans="1:20" ht="15" thickBot="1" x14ac:dyDescent="0.4">
      <c r="B20" s="590" t="s">
        <v>462</v>
      </c>
      <c r="C20" s="596" t="s">
        <v>186</v>
      </c>
      <c r="D20" s="224"/>
      <c r="E20" s="614">
        <v>41</v>
      </c>
      <c r="J20" s="620">
        <f>E20*(1-(5.5/17))</f>
        <v>27.735294117647062</v>
      </c>
      <c r="L20" s="620">
        <f>N23</f>
        <v>18.11359821523487</v>
      </c>
      <c r="M20" s="547">
        <f>L20/J20</f>
        <v>0.65308837679531861</v>
      </c>
      <c r="N20" s="582">
        <f>N19*90/365</f>
        <v>2428471374.5114889</v>
      </c>
      <c r="P20" s="619">
        <f>'Fixed Cost'!G9*1000000*12/$P$4</f>
        <v>73.857142857142861</v>
      </c>
      <c r="R20" s="621">
        <f>T23</f>
        <v>19.179540947779874</v>
      </c>
      <c r="T20" s="593">
        <f>T19*90/365</f>
        <v>1799966849.7750933</v>
      </c>
    </row>
    <row r="21" spans="1:20" ht="15" thickBot="1" x14ac:dyDescent="0.4">
      <c r="B21" s="355" t="s">
        <v>442</v>
      </c>
      <c r="C21" s="599" t="s">
        <v>186</v>
      </c>
      <c r="D21" s="627"/>
      <c r="E21" s="600">
        <f>SUM(E18:E20)</f>
        <v>95.36</v>
      </c>
      <c r="F21" s="583">
        <f>E21*E3</f>
        <v>1544.8319999999999</v>
      </c>
      <c r="G21">
        <f>1006000000/705000</f>
        <v>1426.950354609929</v>
      </c>
      <c r="H21" s="582">
        <f>F21-G21</f>
        <v>117.88164539007084</v>
      </c>
      <c r="I21" s="582"/>
      <c r="J21" s="600">
        <f>SUM(J18:J20)</f>
        <v>82.095294117647057</v>
      </c>
      <c r="L21" s="600">
        <f>SUM(L18:L20)</f>
        <v>63.689598215234867</v>
      </c>
      <c r="N21" s="583">
        <f>N20*14.5%</f>
        <v>352128349.30416584</v>
      </c>
      <c r="P21" s="601">
        <f>SUM(P18:P20)</f>
        <v>142.85714285714286</v>
      </c>
      <c r="R21" s="601">
        <f>SUM(R18:R20)</f>
        <v>67.779540947779878</v>
      </c>
      <c r="T21" s="591">
        <f>T20*14.5%</f>
        <v>260995193.21738851</v>
      </c>
    </row>
    <row r="22" spans="1:20" ht="15" thickBot="1" x14ac:dyDescent="0.4">
      <c r="C22" s="224"/>
      <c r="D22" s="224"/>
      <c r="N22" s="583">
        <f>N21/N17</f>
        <v>293.44029108680485</v>
      </c>
      <c r="T22" s="591">
        <f>T21/T17</f>
        <v>310.70856335403391</v>
      </c>
    </row>
    <row r="23" spans="1:20" x14ac:dyDescent="0.35">
      <c r="A23" t="s">
        <v>443</v>
      </c>
      <c r="B23" s="623" t="s">
        <v>434</v>
      </c>
      <c r="C23" s="624" t="s">
        <v>186</v>
      </c>
      <c r="D23" s="627"/>
      <c r="E23" s="625">
        <f>E18+E16</f>
        <v>500.7695439510137</v>
      </c>
      <c r="J23" s="625">
        <f>J18+J16</f>
        <v>500.7695439510137</v>
      </c>
      <c r="L23" s="625">
        <f>L18+L16</f>
        <v>500.7695439510137</v>
      </c>
      <c r="N23" s="583">
        <f>N22/L3</f>
        <v>18.11359821523487</v>
      </c>
      <c r="P23" s="625">
        <f>P18+P16</f>
        <v>522.83926788809617</v>
      </c>
      <c r="R23" s="625">
        <f>R18+R16</f>
        <v>522.83926788809617</v>
      </c>
      <c r="T23" s="591">
        <f>T22/R3</f>
        <v>19.179540947779874</v>
      </c>
    </row>
    <row r="24" spans="1:20" x14ac:dyDescent="0.35">
      <c r="A24" t="s">
        <v>446</v>
      </c>
      <c r="B24" s="603" t="s">
        <v>267</v>
      </c>
      <c r="C24" s="598" t="s">
        <v>186</v>
      </c>
      <c r="D24" s="627"/>
      <c r="E24" s="616">
        <f>E19</f>
        <v>14.64</v>
      </c>
      <c r="J24" s="616">
        <f>J19</f>
        <v>14.64</v>
      </c>
      <c r="L24" s="616">
        <f>L19</f>
        <v>5.8560000000000008</v>
      </c>
      <c r="P24" s="616">
        <f>P19</f>
        <v>34</v>
      </c>
      <c r="R24" s="616">
        <f>R19</f>
        <v>13.600000000000001</v>
      </c>
    </row>
    <row r="25" spans="1:20" x14ac:dyDescent="0.35">
      <c r="A25" t="s">
        <v>447</v>
      </c>
      <c r="B25" s="603" t="str">
        <f>B20</f>
        <v>Net Fixed Ex</v>
      </c>
      <c r="C25" s="598" t="s">
        <v>186</v>
      </c>
      <c r="D25" s="627"/>
      <c r="E25" s="616">
        <f>E20</f>
        <v>41</v>
      </c>
      <c r="J25" s="616">
        <f>J20</f>
        <v>27.735294117647062</v>
      </c>
      <c r="L25" s="616">
        <f>L20</f>
        <v>18.11359821523487</v>
      </c>
      <c r="P25" s="616">
        <f>P20</f>
        <v>73.857142857142861</v>
      </c>
      <c r="R25" s="616">
        <f>R20</f>
        <v>19.179540947779874</v>
      </c>
    </row>
    <row r="26" spans="1:20" x14ac:dyDescent="0.35">
      <c r="A26" t="s">
        <v>448</v>
      </c>
      <c r="B26" s="829" t="s">
        <v>435</v>
      </c>
      <c r="C26" s="598" t="s">
        <v>186</v>
      </c>
      <c r="D26" s="627"/>
      <c r="E26" s="615">
        <f>E25+E23+E24</f>
        <v>556.40954395101369</v>
      </c>
      <c r="J26" s="615">
        <f>J25+J23+J24</f>
        <v>543.14483806866076</v>
      </c>
      <c r="L26" s="615">
        <f>L25+L23+L24</f>
        <v>524.7391421662486</v>
      </c>
      <c r="P26" s="615">
        <f>P25+P23+P24</f>
        <v>630.69641074523906</v>
      </c>
      <c r="R26" s="615">
        <f>R25+R23+R24</f>
        <v>555.61880883587605</v>
      </c>
    </row>
    <row r="27" spans="1:20" ht="15" thickBot="1" x14ac:dyDescent="0.4">
      <c r="B27" s="830"/>
      <c r="C27" s="604" t="s">
        <v>345</v>
      </c>
      <c r="D27" s="627"/>
      <c r="E27" s="617">
        <f>E26*E3</f>
        <v>9013.8346120064216</v>
      </c>
      <c r="F27" s="594"/>
      <c r="G27" s="594"/>
      <c r="H27" s="594"/>
      <c r="J27" s="617">
        <f>J26*J3</f>
        <v>8798.9463767123034</v>
      </c>
      <c r="L27" s="617">
        <f>L26*L3</f>
        <v>8500.7741030932266</v>
      </c>
      <c r="P27" s="617">
        <f>P26*P3</f>
        <v>10217.281854072873</v>
      </c>
      <c r="R27" s="617">
        <f>R26*R3</f>
        <v>9001.0247031411909</v>
      </c>
    </row>
    <row r="28" spans="1:20" x14ac:dyDescent="0.35">
      <c r="B28" s="364"/>
    </row>
    <row r="29" spans="1:20" x14ac:dyDescent="0.35">
      <c r="B29" s="622" t="s">
        <v>456</v>
      </c>
    </row>
    <row r="30" spans="1:20" ht="36" customHeight="1" x14ac:dyDescent="0.35">
      <c r="B30" s="841" t="s">
        <v>457</v>
      </c>
      <c r="C30" s="841"/>
      <c r="D30" s="841"/>
      <c r="E30" s="841"/>
      <c r="F30" s="841"/>
      <c r="G30" s="841"/>
      <c r="H30" s="841"/>
      <c r="I30" s="841"/>
      <c r="J30" s="841"/>
    </row>
    <row r="31" spans="1:20" x14ac:dyDescent="0.35">
      <c r="B31" t="s">
        <v>459</v>
      </c>
    </row>
    <row r="32" spans="1:20" ht="30.75" customHeight="1" x14ac:dyDescent="0.35">
      <c r="B32" s="828" t="s">
        <v>461</v>
      </c>
      <c r="C32" s="828"/>
      <c r="D32" s="828"/>
      <c r="E32" s="828"/>
      <c r="F32" s="828"/>
      <c r="G32" s="828"/>
      <c r="H32" s="828"/>
      <c r="I32" s="828"/>
      <c r="J32" s="828"/>
      <c r="K32" s="828"/>
      <c r="L32" s="828"/>
      <c r="M32" s="828"/>
      <c r="N32" s="828"/>
      <c r="O32" s="828"/>
    </row>
    <row r="33" spans="2:15" ht="44.25" customHeight="1" x14ac:dyDescent="0.35">
      <c r="B33" s="828" t="s">
        <v>464</v>
      </c>
      <c r="C33" s="828"/>
      <c r="D33" s="828"/>
      <c r="E33" s="828"/>
      <c r="F33" s="828"/>
      <c r="G33" s="828"/>
      <c r="H33" s="828"/>
      <c r="I33" s="828"/>
      <c r="J33" s="828"/>
      <c r="K33" s="828"/>
      <c r="L33" s="828"/>
      <c r="M33" s="828"/>
      <c r="N33" s="828"/>
      <c r="O33" s="828"/>
    </row>
  </sheetData>
  <mergeCells count="8">
    <mergeCell ref="B32:O32"/>
    <mergeCell ref="B33:O33"/>
    <mergeCell ref="B26:B27"/>
    <mergeCell ref="E1:L1"/>
    <mergeCell ref="P1:R1"/>
    <mergeCell ref="B1:B2"/>
    <mergeCell ref="C1:C2"/>
    <mergeCell ref="B30:J30"/>
  </mergeCells>
  <printOptions horizontalCentered="1" verticalCentered="1"/>
  <pageMargins left="0.7" right="0.7" top="0.75" bottom="0.75" header="0.3" footer="0.3"/>
  <pageSetup scale="89" orientation="landscape" horizontalDpi="4294967295" verticalDpi="4294967295" r:id="rId1"/>
  <headerFooter>
    <oddHeader>&amp;L&amp;D    &amp;T</oddHeader>
    <oddFooter>&amp;C&amp;1#&amp;"Calibri"&amp;10&amp;K737373EZDK Business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2:W30"/>
  <sheetViews>
    <sheetView topLeftCell="C1" zoomScaleNormal="100" workbookViewId="0">
      <selection activeCell="F14" sqref="F14"/>
    </sheetView>
  </sheetViews>
  <sheetFormatPr defaultRowHeight="14.5" x14ac:dyDescent="0.35"/>
  <cols>
    <col min="3" max="3" width="20.26953125" bestFit="1" customWidth="1"/>
    <col min="4" max="4" width="14.7265625" customWidth="1"/>
    <col min="6" max="6" width="13.1796875" bestFit="1" customWidth="1"/>
  </cols>
  <sheetData>
    <row r="2" spans="2:23" x14ac:dyDescent="0.35">
      <c r="D2" s="246">
        <v>43738</v>
      </c>
    </row>
    <row r="4" spans="2:23" x14ac:dyDescent="0.35">
      <c r="C4" s="819" t="s">
        <v>20</v>
      </c>
      <c r="D4" s="819"/>
      <c r="E4" s="221" t="s">
        <v>5</v>
      </c>
      <c r="F4" t="s">
        <v>474</v>
      </c>
      <c r="H4" s="631"/>
      <c r="I4" s="631" t="str">
        <f>+C5</f>
        <v>IOP</v>
      </c>
      <c r="J4" s="631" t="str">
        <f>+C6</f>
        <v>N Gas</v>
      </c>
      <c r="K4" s="631" t="str">
        <f>+C9</f>
        <v>Dep &amp; OH</v>
      </c>
      <c r="L4" s="631" t="s">
        <v>77</v>
      </c>
      <c r="M4" s="631" t="s">
        <v>478</v>
      </c>
    </row>
    <row r="5" spans="2:23" x14ac:dyDescent="0.35">
      <c r="C5" t="s">
        <v>162</v>
      </c>
      <c r="D5" s="544">
        <f>+D11-SUM(D6:D10)</f>
        <v>3894.6544610770834</v>
      </c>
      <c r="E5" s="630">
        <f>+D5/$D$11</f>
        <v>0.66361654892270205</v>
      </c>
      <c r="F5" s="630">
        <f>+D5/$D$30</f>
        <v>0.38928678274159489</v>
      </c>
      <c r="H5" s="631" t="str">
        <f>+C5</f>
        <v>IOP</v>
      </c>
      <c r="I5" s="634">
        <f>+E5</f>
        <v>0.66361654892270205</v>
      </c>
      <c r="J5" s="634">
        <f>+I5</f>
        <v>0.66361654892270205</v>
      </c>
      <c r="K5" s="634">
        <f>J5+J6</f>
        <v>0.91230501733868152</v>
      </c>
      <c r="L5" s="634">
        <f>+K5+K6</f>
        <v>0.9664994506629826</v>
      </c>
      <c r="M5" s="634">
        <f>I5</f>
        <v>0.66361654892270205</v>
      </c>
    </row>
    <row r="6" spans="2:23" x14ac:dyDescent="0.35">
      <c r="C6" t="s">
        <v>473</v>
      </c>
      <c r="D6" s="544">
        <v>1459.511</v>
      </c>
      <c r="E6" s="630">
        <f t="shared" ref="E6:E11" si="0">+D6/$D$11</f>
        <v>0.24868846841597947</v>
      </c>
      <c r="F6" s="630">
        <f t="shared" ref="F6:F11" si="1">+D6/$D$30</f>
        <v>0.14588414639712055</v>
      </c>
      <c r="H6" s="633" t="str">
        <f>+C6</f>
        <v>N Gas</v>
      </c>
      <c r="I6" s="634"/>
      <c r="J6" s="634">
        <f>+E6</f>
        <v>0.24868846841597947</v>
      </c>
      <c r="K6" s="634">
        <f>+E9</f>
        <v>5.4194433324301107E-2</v>
      </c>
      <c r="L6" s="634">
        <f>+E10</f>
        <v>1.8102130344374183E-2</v>
      </c>
      <c r="M6" s="634">
        <f>J6</f>
        <v>0.24868846841597947</v>
      </c>
    </row>
    <row r="7" spans="2:23" x14ac:dyDescent="0.35">
      <c r="C7" t="s">
        <v>29</v>
      </c>
      <c r="D7" s="551">
        <v>43.991940908889006</v>
      </c>
      <c r="E7" s="630">
        <f t="shared" si="0"/>
        <v>7.4958588234538001E-3</v>
      </c>
      <c r="F7" s="630">
        <f t="shared" si="1"/>
        <v>4.3971760047343536E-3</v>
      </c>
      <c r="H7" s="631" t="str">
        <f>+C9</f>
        <v>Dep &amp; OH</v>
      </c>
      <c r="I7" s="634"/>
      <c r="J7" s="634"/>
      <c r="K7" s="634"/>
      <c r="L7" s="634"/>
      <c r="M7" s="634">
        <f>K6</f>
        <v>5.4194433324301107E-2</v>
      </c>
    </row>
    <row r="8" spans="2:23" x14ac:dyDescent="0.35">
      <c r="C8" t="s">
        <v>472</v>
      </c>
      <c r="D8" s="551">
        <f>1549.88174394933-D6-D7</f>
        <v>46.378803040441056</v>
      </c>
      <c r="E8" s="630">
        <f t="shared" si="0"/>
        <v>7.9025601691893096E-3</v>
      </c>
      <c r="F8" s="630">
        <f t="shared" si="1"/>
        <v>4.6357527229838784E-3</v>
      </c>
      <c r="H8" s="631" t="str">
        <f>+C10</f>
        <v>Labor</v>
      </c>
      <c r="M8" s="634">
        <f>+L6</f>
        <v>1.8102130344374183E-2</v>
      </c>
    </row>
    <row r="9" spans="2:23" ht="28" x14ac:dyDescent="0.6">
      <c r="C9" t="s">
        <v>466</v>
      </c>
      <c r="D9" s="551">
        <f>((381.572133897876-D10))+42.7242985371549</f>
        <v>318.05805906238646</v>
      </c>
      <c r="E9" s="630">
        <f t="shared" si="0"/>
        <v>5.4194433324301107E-2</v>
      </c>
      <c r="F9" s="630">
        <f t="shared" si="1"/>
        <v>3.179121531186898E-2</v>
      </c>
      <c r="W9" s="632"/>
    </row>
    <row r="10" spans="2:23" ht="28" x14ac:dyDescent="0.6">
      <c r="C10" t="s">
        <v>77</v>
      </c>
      <c r="D10" s="551">
        <v>106.23837337264438</v>
      </c>
      <c r="E10" s="630">
        <f t="shared" si="0"/>
        <v>1.8102130344374183E-2</v>
      </c>
      <c r="F10" s="630">
        <f t="shared" si="1"/>
        <v>1.0618963758468972E-2</v>
      </c>
      <c r="W10" s="632"/>
    </row>
    <row r="11" spans="2:23" ht="28" x14ac:dyDescent="0.6">
      <c r="C11" t="s">
        <v>467</v>
      </c>
      <c r="D11" s="544">
        <v>5868.8326374614444</v>
      </c>
      <c r="E11" s="630">
        <f t="shared" si="0"/>
        <v>1</v>
      </c>
      <c r="F11" s="630">
        <f t="shared" si="1"/>
        <v>0.58661403693677172</v>
      </c>
      <c r="W11" s="632"/>
    </row>
    <row r="12" spans="2:23" ht="28" x14ac:dyDescent="0.6">
      <c r="W12" s="632"/>
    </row>
    <row r="13" spans="2:23" x14ac:dyDescent="0.35">
      <c r="C13" s="819" t="s">
        <v>310</v>
      </c>
      <c r="D13" s="819"/>
    </row>
    <row r="14" spans="2:23" x14ac:dyDescent="0.35">
      <c r="C14" t="s">
        <v>468</v>
      </c>
      <c r="D14" s="544">
        <v>6782.123992683436</v>
      </c>
      <c r="E14" s="630">
        <f>+D14/$D$21</f>
        <v>0.73111780182789121</v>
      </c>
      <c r="F14" s="630">
        <f t="shared" ref="F14:F21" si="2">+D14/$D$30</f>
        <v>0.67790127613430406</v>
      </c>
      <c r="H14" s="631"/>
      <c r="I14" s="631" t="str">
        <f>+C14</f>
        <v>Main RM</v>
      </c>
      <c r="J14" s="631" t="str">
        <f>+C15</f>
        <v>Aux + Ref +Electrodes</v>
      </c>
      <c r="K14" s="631" t="str">
        <f>+C16</f>
        <v>Energy Ngas</v>
      </c>
      <c r="L14" s="631" t="str">
        <f>+C17</f>
        <v>Energy Electricty</v>
      </c>
      <c r="M14" s="631" t="str">
        <f>+C19</f>
        <v>Dep &amp; OH</v>
      </c>
      <c r="N14" s="631" t="s">
        <v>77</v>
      </c>
      <c r="O14" s="631" t="s">
        <v>479</v>
      </c>
    </row>
    <row r="15" spans="2:23" x14ac:dyDescent="0.35">
      <c r="C15" t="s">
        <v>469</v>
      </c>
      <c r="D15" s="544">
        <f>+D21-SUM(D16:D20)-D14</f>
        <v>1291.5981947180835</v>
      </c>
      <c r="E15" s="630">
        <f t="shared" ref="E15:E21" si="3">+D15/$D$21</f>
        <v>0.13923520625483712</v>
      </c>
      <c r="F15" s="630">
        <f t="shared" si="2"/>
        <v>0.12910056870041373</v>
      </c>
      <c r="H15" s="631" t="s">
        <v>476</v>
      </c>
      <c r="I15" s="635">
        <f>+E14</f>
        <v>0.73111780182789121</v>
      </c>
      <c r="J15" s="634">
        <f>+I15</f>
        <v>0.73111780182789121</v>
      </c>
      <c r="K15" s="634">
        <f>+J15+J16</f>
        <v>0.87035300808272831</v>
      </c>
      <c r="L15" s="634">
        <f>+K15+K16</f>
        <v>0.87691477875923096</v>
      </c>
      <c r="M15" s="634">
        <f>+L15+L16</f>
        <v>0.9421620189698473</v>
      </c>
      <c r="N15" s="634">
        <f>+M15+M16</f>
        <v>0.95338488229125751</v>
      </c>
      <c r="O15" s="634">
        <f>J15</f>
        <v>0.73111780182789121</v>
      </c>
    </row>
    <row r="16" spans="2:23" x14ac:dyDescent="0.35">
      <c r="B16">
        <v>60.86945527565166</v>
      </c>
      <c r="C16" t="s">
        <v>470</v>
      </c>
      <c r="D16" s="551">
        <v>60.86945527565166</v>
      </c>
      <c r="E16" s="630">
        <f t="shared" si="3"/>
        <v>6.5617706765026991E-3</v>
      </c>
      <c r="F16" s="630">
        <f t="shared" si="2"/>
        <v>6.0841532023713073E-3</v>
      </c>
      <c r="H16" s="633" t="s">
        <v>477</v>
      </c>
      <c r="I16" s="633"/>
      <c r="J16" s="634">
        <f>+E15</f>
        <v>0.13923520625483712</v>
      </c>
      <c r="K16" s="634">
        <f>+E16</f>
        <v>6.5617706765026991E-3</v>
      </c>
      <c r="L16" s="634">
        <f>+F17</f>
        <v>6.5247240210616356E-2</v>
      </c>
      <c r="M16" s="634">
        <f>+E19</f>
        <v>1.1222863321410205E-2</v>
      </c>
      <c r="N16" s="634">
        <f>+E20</f>
        <v>3.1352852230720395E-2</v>
      </c>
      <c r="O16" s="634">
        <f>J16</f>
        <v>0.13923520625483712</v>
      </c>
    </row>
    <row r="17" spans="3:15" x14ac:dyDescent="0.35">
      <c r="C17" t="s">
        <v>471</v>
      </c>
      <c r="D17" s="551">
        <v>652.77185464558818</v>
      </c>
      <c r="E17" s="630">
        <f t="shared" si="3"/>
        <v>7.0369271334239744E-2</v>
      </c>
      <c r="F17" s="630">
        <f t="shared" si="2"/>
        <v>6.5247240210616356E-2</v>
      </c>
      <c r="H17" s="631" t="s">
        <v>475</v>
      </c>
      <c r="I17" s="631"/>
      <c r="J17" s="634"/>
      <c r="K17" s="634"/>
      <c r="L17" s="634"/>
      <c r="M17" s="634"/>
      <c r="N17" s="634"/>
      <c r="O17" s="634">
        <f>+K16</f>
        <v>6.5617706765026991E-3</v>
      </c>
    </row>
    <row r="18" spans="3:15" x14ac:dyDescent="0.35">
      <c r="C18" t="s">
        <v>472</v>
      </c>
      <c r="D18" s="544">
        <f>807.705941550315-D16-D17</f>
        <v>94.064631629075052</v>
      </c>
      <c r="E18" s="630">
        <f t="shared" si="3"/>
        <v>1.0140234354398614E-2</v>
      </c>
      <c r="F18" s="630">
        <f t="shared" si="2"/>
        <v>9.4021480423012935E-3</v>
      </c>
      <c r="H18" s="631" t="s">
        <v>77</v>
      </c>
      <c r="I18" s="631"/>
      <c r="O18" s="634">
        <f>+L16</f>
        <v>6.5247240210616356E-2</v>
      </c>
    </row>
    <row r="19" spans="3:15" x14ac:dyDescent="0.35">
      <c r="C19" t="s">
        <v>466</v>
      </c>
      <c r="D19" s="544">
        <f>394.948367048166-D20</f>
        <v>104.10750553255014</v>
      </c>
      <c r="E19" s="630">
        <f t="shared" si="3"/>
        <v>1.1222863321410205E-2</v>
      </c>
      <c r="F19" s="630">
        <f t="shared" si="2"/>
        <v>1.0405974725883931E-2</v>
      </c>
      <c r="H19" s="631" t="s">
        <v>480</v>
      </c>
      <c r="O19" s="550">
        <f>+M16</f>
        <v>1.1222863321410205E-2</v>
      </c>
    </row>
    <row r="20" spans="3:15" x14ac:dyDescent="0.35">
      <c r="C20" t="s">
        <v>77</v>
      </c>
      <c r="D20" s="544">
        <v>290.84086151561587</v>
      </c>
      <c r="E20" s="630">
        <f t="shared" si="3"/>
        <v>3.1352852230720395E-2</v>
      </c>
      <c r="F20" s="630">
        <f t="shared" si="2"/>
        <v>2.9070744118823891E-2</v>
      </c>
      <c r="H20" s="631" t="s">
        <v>481</v>
      </c>
      <c r="O20" s="550">
        <f>+N16</f>
        <v>3.1352852230720395E-2</v>
      </c>
    </row>
    <row r="21" spans="3:15" x14ac:dyDescent="0.35">
      <c r="C21" t="s">
        <v>467</v>
      </c>
      <c r="D21" s="544">
        <v>9276.3764960000008</v>
      </c>
      <c r="E21" s="630">
        <f t="shared" si="3"/>
        <v>1</v>
      </c>
      <c r="F21" s="630">
        <f t="shared" si="2"/>
        <v>0.92721210513471464</v>
      </c>
    </row>
    <row r="22" spans="3:15" x14ac:dyDescent="0.35">
      <c r="D22" s="221"/>
    </row>
    <row r="23" spans="3:15" x14ac:dyDescent="0.35">
      <c r="C23" s="819" t="s">
        <v>285</v>
      </c>
      <c r="D23" s="819"/>
      <c r="H23" s="631"/>
      <c r="I23" s="631" t="str">
        <f>+C24</f>
        <v>RM</v>
      </c>
      <c r="J23" s="631" t="str">
        <f>+C26</f>
        <v>Energy Electricty</v>
      </c>
      <c r="K23" s="631" t="str">
        <f>+C28</f>
        <v>Dep &amp; OH</v>
      </c>
      <c r="L23" s="631" t="s">
        <v>77</v>
      </c>
      <c r="M23" s="631" t="s">
        <v>482</v>
      </c>
    </row>
    <row r="24" spans="3:15" x14ac:dyDescent="0.35">
      <c r="C24" t="s">
        <v>465</v>
      </c>
      <c r="D24" s="544">
        <f>+D30-SUM(D25:D29)</f>
        <v>9344.6726857000249</v>
      </c>
      <c r="E24" s="630">
        <f>+D24/$D$30</f>
        <v>0.93403859108553222</v>
      </c>
      <c r="F24" s="630">
        <f t="shared" ref="F24:F30" si="4">+D24/$D$30</f>
        <v>0.93403859108553222</v>
      </c>
      <c r="H24" s="631" t="str">
        <f>+C24</f>
        <v>RM</v>
      </c>
      <c r="I24" s="634">
        <f>+E24</f>
        <v>0.93403859108553222</v>
      </c>
      <c r="J24" s="634">
        <f>+I24</f>
        <v>0.93403859108553222</v>
      </c>
      <c r="K24" s="634">
        <f>J24+J25</f>
        <v>0.94515510608089526</v>
      </c>
      <c r="L24" s="634">
        <f>+K24+K25</f>
        <v>0.96002509478828046</v>
      </c>
      <c r="M24" s="634">
        <f>I24</f>
        <v>0.93403859108553222</v>
      </c>
    </row>
    <row r="25" spans="3:15" x14ac:dyDescent="0.35">
      <c r="C25" t="s">
        <v>470</v>
      </c>
      <c r="D25" s="544">
        <v>125.35942653486039</v>
      </c>
      <c r="E25" s="630">
        <f t="shared" ref="E25:E30" si="5">+D25/$D$30</f>
        <v>1.2530191915559838E-2</v>
      </c>
      <c r="F25" s="630">
        <f t="shared" si="4"/>
        <v>1.2530191915559838E-2</v>
      </c>
      <c r="H25" s="633" t="str">
        <f>+C25</f>
        <v>Energy Ngas</v>
      </c>
      <c r="I25" s="634"/>
      <c r="J25" s="634">
        <f>+E26</f>
        <v>1.1116514995363076E-2</v>
      </c>
      <c r="K25" s="634">
        <f>+E28</f>
        <v>1.4869988707385245E-2</v>
      </c>
      <c r="L25" s="634">
        <f>+E29</f>
        <v>2.6783494857386597E-2</v>
      </c>
      <c r="M25" s="634">
        <f>J25</f>
        <v>1.1116514995363076E-2</v>
      </c>
    </row>
    <row r="26" spans="3:15" x14ac:dyDescent="0.35">
      <c r="C26" t="s">
        <v>471</v>
      </c>
      <c r="D26" s="544">
        <v>111.21616925550724</v>
      </c>
      <c r="E26" s="630">
        <f t="shared" si="5"/>
        <v>1.1116514995363076E-2</v>
      </c>
      <c r="F26" s="630">
        <f t="shared" si="4"/>
        <v>1.1116514995363076E-2</v>
      </c>
      <c r="H26" s="631" t="str">
        <f>+C28</f>
        <v>Dep &amp; OH</v>
      </c>
      <c r="I26" s="634"/>
      <c r="J26" s="634"/>
      <c r="K26" s="634"/>
      <c r="L26" s="634"/>
      <c r="M26" s="634">
        <f>K25</f>
        <v>1.4869988707385245E-2</v>
      </c>
    </row>
    <row r="27" spans="3:15" x14ac:dyDescent="0.35">
      <c r="C27" t="s">
        <v>472</v>
      </c>
      <c r="D27" s="544">
        <f>243.190814843472-D25-D26</f>
        <v>6.6152190531043686</v>
      </c>
      <c r="E27" s="630">
        <f t="shared" si="5"/>
        <v>6.6121843877305412E-4</v>
      </c>
      <c r="F27" s="630">
        <f t="shared" si="4"/>
        <v>6.6121843877305412E-4</v>
      </c>
      <c r="H27" s="631" t="str">
        <f>+C29</f>
        <v>Labor</v>
      </c>
      <c r="M27" s="634">
        <f>+L25</f>
        <v>2.6783494857386597E-2</v>
      </c>
    </row>
    <row r="28" spans="3:15" x14ac:dyDescent="0.35">
      <c r="C28" t="s">
        <v>466</v>
      </c>
      <c r="D28" s="544">
        <f>(387.355951077897-D29)+29.3700534436173</f>
        <v>148.76813296234164</v>
      </c>
      <c r="E28" s="630">
        <f t="shared" si="5"/>
        <v>1.4869988707385245E-2</v>
      </c>
      <c r="F28" s="630">
        <f t="shared" si="4"/>
        <v>1.4869988707385245E-2</v>
      </c>
    </row>
    <row r="29" spans="3:15" x14ac:dyDescent="0.35">
      <c r="C29" t="s">
        <v>77</v>
      </c>
      <c r="D29" s="544">
        <v>267.95787155917264</v>
      </c>
      <c r="E29" s="630">
        <f t="shared" si="5"/>
        <v>2.6783494857386597E-2</v>
      </c>
      <c r="F29" s="630">
        <f t="shared" si="4"/>
        <v>2.6783494857386597E-2</v>
      </c>
    </row>
    <row r="30" spans="3:15" x14ac:dyDescent="0.35">
      <c r="C30" t="s">
        <v>467</v>
      </c>
      <c r="D30" s="544">
        <v>10004.589505065011</v>
      </c>
      <c r="E30" s="630">
        <f t="shared" si="5"/>
        <v>1</v>
      </c>
      <c r="F30" s="630">
        <f t="shared" si="4"/>
        <v>1</v>
      </c>
    </row>
  </sheetData>
  <mergeCells count="3">
    <mergeCell ref="C13:D13"/>
    <mergeCell ref="C4:D4"/>
    <mergeCell ref="C23:D23"/>
  </mergeCells>
  <pageMargins left="0.7" right="0.7" top="0.75" bottom="0.75" header="0.3" footer="0.3"/>
  <pageSetup orientation="portrait" horizontalDpi="4294967295" verticalDpi="4294967295" r:id="rId1"/>
  <headerFooter>
    <oddFooter>&amp;C&amp;1#&amp;"Calibri"&amp;10&amp;K737373EZDK Business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2:U84"/>
  <sheetViews>
    <sheetView workbookViewId="0">
      <selection activeCell="B2" sqref="B2:L39"/>
    </sheetView>
  </sheetViews>
  <sheetFormatPr defaultRowHeight="14.5" x14ac:dyDescent="0.35"/>
  <cols>
    <col min="2" max="2" width="30.453125" bestFit="1" customWidth="1"/>
    <col min="3" max="3" width="8" style="224" customWidth="1"/>
    <col min="4" max="4" width="4.1796875" customWidth="1"/>
    <col min="5" max="5" width="16.453125" style="224" bestFit="1" customWidth="1"/>
    <col min="6" max="6" width="16.453125" style="224" customWidth="1"/>
    <col min="7" max="7" width="4.1796875" customWidth="1"/>
    <col min="8" max="8" width="15.26953125" style="224" bestFit="1" customWidth="1"/>
    <col min="9" max="9" width="15.26953125" style="224" customWidth="1"/>
    <col min="10" max="10" width="4.1796875" customWidth="1"/>
    <col min="11" max="11" width="15.26953125" style="224" bestFit="1" customWidth="1"/>
    <col min="12" max="12" width="15.26953125" style="224" customWidth="1"/>
    <col min="14" max="14" width="8.54296875" customWidth="1"/>
    <col min="16" max="17" width="15.26953125" bestFit="1" customWidth="1"/>
  </cols>
  <sheetData>
    <row r="2" spans="2:21" ht="32.25" customHeight="1" x14ac:dyDescent="0.45">
      <c r="B2" s="769" t="s">
        <v>558</v>
      </c>
      <c r="C2" s="769"/>
      <c r="D2" s="769"/>
      <c r="E2" s="769"/>
      <c r="F2" s="769"/>
      <c r="G2" s="769"/>
      <c r="H2" s="769"/>
      <c r="I2" s="769"/>
      <c r="J2" s="769"/>
      <c r="K2" s="769"/>
      <c r="L2" s="769"/>
    </row>
    <row r="3" spans="2:21" ht="15" thickBot="1" x14ac:dyDescent="0.4"/>
    <row r="4" spans="2:21" s="413" customFormat="1" ht="15.5" x14ac:dyDescent="0.35">
      <c r="B4" s="778" t="s">
        <v>230</v>
      </c>
      <c r="C4" s="780" t="s">
        <v>234</v>
      </c>
      <c r="E4" s="773" t="s">
        <v>483</v>
      </c>
      <c r="F4" s="774"/>
      <c r="H4" s="773" t="s">
        <v>484</v>
      </c>
      <c r="I4" s="774"/>
      <c r="K4" s="773" t="s">
        <v>485</v>
      </c>
      <c r="L4" s="774"/>
    </row>
    <row r="5" spans="2:21" s="413" customFormat="1" ht="15.5" x14ac:dyDescent="0.35">
      <c r="B5" s="779"/>
      <c r="C5" s="781"/>
      <c r="E5" s="685" t="s">
        <v>510</v>
      </c>
      <c r="F5" s="686" t="s">
        <v>511</v>
      </c>
      <c r="H5" s="685" t="s">
        <v>199</v>
      </c>
      <c r="I5" s="686" t="s">
        <v>511</v>
      </c>
      <c r="K5" s="685" t="s">
        <v>179</v>
      </c>
      <c r="L5" s="686" t="s">
        <v>511</v>
      </c>
    </row>
    <row r="6" spans="2:21" s="226" customFormat="1" x14ac:dyDescent="0.35">
      <c r="B6" s="661" t="s">
        <v>529</v>
      </c>
      <c r="C6" s="650" t="s">
        <v>186</v>
      </c>
      <c r="E6" s="645">
        <f>+E51*(E62)</f>
        <v>195</v>
      </c>
      <c r="F6" s="713">
        <f>+E6</f>
        <v>195</v>
      </c>
      <c r="H6" s="644"/>
      <c r="I6" s="648"/>
      <c r="K6" s="644"/>
      <c r="L6" s="648"/>
    </row>
    <row r="7" spans="2:21" s="226" customFormat="1" x14ac:dyDescent="0.35">
      <c r="B7" s="661" t="s">
        <v>486</v>
      </c>
      <c r="C7" s="650" t="s">
        <v>186</v>
      </c>
      <c r="E7" s="645">
        <f>E8-E6</f>
        <v>67.421286375661396</v>
      </c>
      <c r="F7" s="713">
        <f t="shared" ref="F7" si="0">+E7</f>
        <v>67.421286375661396</v>
      </c>
      <c r="H7" s="644"/>
      <c r="I7" s="648"/>
      <c r="K7" s="644"/>
      <c r="L7" s="648"/>
    </row>
    <row r="8" spans="2:21" s="445" customFormat="1" ht="15.5" x14ac:dyDescent="0.35">
      <c r="B8" s="662" t="s">
        <v>487</v>
      </c>
      <c r="C8" s="655" t="s">
        <v>186</v>
      </c>
      <c r="E8" s="657">
        <f>+DRI!E22</f>
        <v>262.4212863756614</v>
      </c>
      <c r="F8" s="714">
        <f>+F6+F7</f>
        <v>262.4212863756614</v>
      </c>
      <c r="H8" s="657"/>
      <c r="I8" s="658"/>
      <c r="K8" s="657"/>
      <c r="L8" s="658"/>
    </row>
    <row r="9" spans="2:21" s="226" customFormat="1" x14ac:dyDescent="0.35">
      <c r="B9" s="661"/>
      <c r="C9" s="650"/>
      <c r="E9" s="645"/>
      <c r="F9" s="648"/>
      <c r="H9" s="644"/>
      <c r="I9" s="648"/>
      <c r="K9" s="644"/>
      <c r="L9" s="648"/>
    </row>
    <row r="10" spans="2:21" s="226" customFormat="1" x14ac:dyDescent="0.35">
      <c r="B10" s="661" t="s">
        <v>518</v>
      </c>
      <c r="C10" s="650" t="s">
        <v>186</v>
      </c>
      <c r="E10" s="645">
        <f>+E52*E63/100*1/(E64*E65/10000)</f>
        <v>265.68087551846747</v>
      </c>
      <c r="F10" s="713">
        <f>+F52*F63/100*1/(F64*F65/10000)</f>
        <v>265.68087551846747</v>
      </c>
      <c r="H10" s="645">
        <f>+H52*H63/100*1/(H64*H65/10000)</f>
        <v>65.940007300248112</v>
      </c>
      <c r="I10" s="648">
        <f>+I52*I63/100*1/(I64*I65/10000)</f>
        <v>0</v>
      </c>
      <c r="K10" s="645"/>
      <c r="L10" s="648"/>
    </row>
    <row r="11" spans="2:21" s="226" customFormat="1" x14ac:dyDescent="0.35">
      <c r="B11" s="661" t="s">
        <v>519</v>
      </c>
      <c r="C11" s="650" t="s">
        <v>186</v>
      </c>
      <c r="E11" s="645">
        <f>+E53*1/(E64*E65/10000)*(100-E63)/100</f>
        <v>75.931590531724211</v>
      </c>
      <c r="F11" s="713">
        <f>+F53*1/(F64*F65/10000)*(100-F63)/100</f>
        <v>75.931590531724211</v>
      </c>
      <c r="H11" s="645">
        <f>+H53*1/(H64*H65/10000)*(100-H63)/100</f>
        <v>288.09437617728685</v>
      </c>
      <c r="I11" s="648">
        <f>+I53*1/(I64*I65/10000)*(100-I63)/100</f>
        <v>360.11797022160846</v>
      </c>
      <c r="K11" s="645"/>
      <c r="L11" s="648"/>
    </row>
    <row r="12" spans="2:21" s="226" customFormat="1" x14ac:dyDescent="0.35">
      <c r="B12" s="661" t="s">
        <v>530</v>
      </c>
      <c r="C12" s="650" t="s">
        <v>186</v>
      </c>
      <c r="E12" s="645"/>
      <c r="F12" s="713"/>
      <c r="H12" s="645"/>
      <c r="I12" s="648"/>
      <c r="K12" s="645">
        <f>K54/(K65/100)</f>
        <v>448.23257240906514</v>
      </c>
      <c r="L12" s="648">
        <f>L58/(L65/100)</f>
        <v>525.29736083548221</v>
      </c>
    </row>
    <row r="13" spans="2:21" s="226" customFormat="1" x14ac:dyDescent="0.35">
      <c r="B13" s="661" t="s">
        <v>432</v>
      </c>
      <c r="C13" s="650" t="s">
        <v>186</v>
      </c>
      <c r="E13" s="645">
        <f>+E14-E10-E11</f>
        <v>127.47052193795271</v>
      </c>
      <c r="F13" s="713">
        <f>+E13</f>
        <v>127.47052193795271</v>
      </c>
      <c r="H13" s="645">
        <f>+H14-H10-H11</f>
        <v>131.68162575964567</v>
      </c>
      <c r="I13" s="648">
        <f>+H13</f>
        <v>131.68162575964567</v>
      </c>
      <c r="K13" s="645">
        <f>+K14-K12</f>
        <v>11.777007169456112</v>
      </c>
      <c r="L13" s="648">
        <f>+K13</f>
        <v>11.777007169456112</v>
      </c>
    </row>
    <row r="14" spans="2:21" s="445" customFormat="1" ht="15.5" x14ac:dyDescent="0.35">
      <c r="B14" s="662" t="s">
        <v>494</v>
      </c>
      <c r="C14" s="655" t="s">
        <v>186</v>
      </c>
      <c r="E14" s="657">
        <f>+Rebar!E19</f>
        <v>469.0829879881444</v>
      </c>
      <c r="F14" s="714">
        <f>+F13+F11+F10</f>
        <v>469.0829879881444</v>
      </c>
      <c r="H14" s="657">
        <f>+Rebar!H19</f>
        <v>485.71600923718063</v>
      </c>
      <c r="I14" s="658">
        <f>+I13+I10+I11</f>
        <v>491.79959598125413</v>
      </c>
      <c r="K14" s="657">
        <f>+Rebar!G19</f>
        <v>460.00957957852125</v>
      </c>
      <c r="L14" s="658">
        <f>+L12+L13</f>
        <v>537.07436800493838</v>
      </c>
    </row>
    <row r="15" spans="2:21" s="226" customFormat="1" x14ac:dyDescent="0.35">
      <c r="B15" s="661"/>
      <c r="C15" s="650"/>
      <c r="E15" s="645"/>
      <c r="F15" s="648"/>
      <c r="H15" s="644"/>
      <c r="I15" s="648"/>
      <c r="K15" s="644"/>
      <c r="L15" s="648"/>
      <c r="P15" s="226" t="s">
        <v>155</v>
      </c>
      <c r="Q15" s="226" t="s">
        <v>177</v>
      </c>
      <c r="U15" s="226" t="s">
        <v>199</v>
      </c>
    </row>
    <row r="16" spans="2:21" s="226" customFormat="1" x14ac:dyDescent="0.35">
      <c r="B16" s="661" t="s">
        <v>492</v>
      </c>
      <c r="C16" s="650" t="s">
        <v>186</v>
      </c>
      <c r="E16" s="645">
        <f>+'Fixed Cost'!D7*12*1000000/$E$61</f>
        <v>39.72</v>
      </c>
      <c r="F16" s="713">
        <f>+E16</f>
        <v>39.72</v>
      </c>
      <c r="H16" s="645">
        <f>+'Fixed Cost'!G7*12*1000000/$H$61</f>
        <v>35.000000000000007</v>
      </c>
      <c r="I16" s="648">
        <f>+H16</f>
        <v>35.000000000000007</v>
      </c>
      <c r="K16" s="645">
        <f>+'Fixed Cost'!F7*12*1000000/$K$61</f>
        <v>39</v>
      </c>
      <c r="L16" s="711"/>
      <c r="O16" s="226" t="s">
        <v>303</v>
      </c>
      <c r="P16" s="712">
        <v>12310896000</v>
      </c>
      <c r="Q16" s="712">
        <v>36099112000</v>
      </c>
      <c r="T16" s="226" t="s">
        <v>559</v>
      </c>
    </row>
    <row r="17" spans="2:18" s="226" customFormat="1" ht="15.5" x14ac:dyDescent="0.35">
      <c r="B17" s="662" t="s">
        <v>553</v>
      </c>
      <c r="C17" s="655" t="s">
        <v>186</v>
      </c>
      <c r="E17" s="657">
        <f>+E16+E14</f>
        <v>508.80298798814442</v>
      </c>
      <c r="F17" s="658">
        <f>+P19/F42</f>
        <v>574.55699588477376</v>
      </c>
      <c r="H17" s="657">
        <f t="shared" ref="H17:I17" si="1">+H16+H14</f>
        <v>520.71600923718063</v>
      </c>
      <c r="I17" s="658">
        <f t="shared" si="1"/>
        <v>526.79959598125413</v>
      </c>
      <c r="K17" s="657">
        <f t="shared" ref="K17:L17" si="2">+K16+K14</f>
        <v>499.00957957852125</v>
      </c>
      <c r="L17" s="658">
        <f t="shared" si="2"/>
        <v>537.07436800493838</v>
      </c>
      <c r="O17" s="226" t="s">
        <v>305</v>
      </c>
      <c r="P17" s="712">
        <v>11169388000</v>
      </c>
      <c r="Q17" s="712">
        <v>30620025000</v>
      </c>
    </row>
    <row r="18" spans="2:18" s="226" customFormat="1" x14ac:dyDescent="0.35">
      <c r="B18" s="661"/>
      <c r="C18" s="650"/>
      <c r="E18" s="645"/>
      <c r="F18" s="648"/>
      <c r="H18" s="645"/>
      <c r="I18" s="648"/>
      <c r="K18" s="645"/>
      <c r="L18" s="770">
        <v>53</v>
      </c>
      <c r="O18" s="226" t="s">
        <v>151</v>
      </c>
      <c r="P18" s="712">
        <v>1200000</v>
      </c>
      <c r="Q18" s="712">
        <v>3000000</v>
      </c>
    </row>
    <row r="19" spans="2:18" s="226" customFormat="1" x14ac:dyDescent="0.35">
      <c r="B19" s="661" t="s">
        <v>267</v>
      </c>
      <c r="C19" s="650" t="s">
        <v>186</v>
      </c>
      <c r="E19" s="645">
        <f>+'Fixed Cost'!D8*12*1000000/$E$61</f>
        <v>14.64</v>
      </c>
      <c r="F19" s="648">
        <f>+F45*F44/F42</f>
        <v>11.481481481481483</v>
      </c>
      <c r="H19" s="645">
        <f>+'Fixed Cost'!G8*12*1000000/$H$61</f>
        <v>34</v>
      </c>
      <c r="I19" s="648">
        <f>+I45*I44/I42</f>
        <v>11.481481481481483</v>
      </c>
      <c r="K19" s="645">
        <f>+'Fixed Cost'!F8*12*1000000/$K$61</f>
        <v>28</v>
      </c>
      <c r="L19" s="771"/>
      <c r="O19" s="226" t="s">
        <v>556</v>
      </c>
      <c r="P19" s="712">
        <f>P17/P18</f>
        <v>9307.8233333333337</v>
      </c>
      <c r="Q19" s="712">
        <f>Q17/Q18</f>
        <v>10206.674999999999</v>
      </c>
      <c r="R19" s="226">
        <f>+Q19/16</f>
        <v>637.91718749999995</v>
      </c>
    </row>
    <row r="20" spans="2:18" s="226" customFormat="1" x14ac:dyDescent="0.35">
      <c r="B20" s="661" t="s">
        <v>493</v>
      </c>
      <c r="C20" s="650" t="s">
        <v>186</v>
      </c>
      <c r="E20" s="645">
        <f>+E78</f>
        <v>27.838295812152023</v>
      </c>
      <c r="F20" s="717">
        <f>+P23/F42</f>
        <v>0.37129629629629629</v>
      </c>
      <c r="H20" s="645">
        <f>+H78</f>
        <v>20.108455334847797</v>
      </c>
      <c r="I20" s="648">
        <f>+I78</f>
        <v>19.512689058024165</v>
      </c>
      <c r="K20" s="645">
        <f t="shared" ref="K20" si="3">+K78</f>
        <v>19.104097259721392</v>
      </c>
      <c r="L20" s="772"/>
      <c r="O20" s="226" t="s">
        <v>557</v>
      </c>
      <c r="P20" s="715">
        <f>P16/P18</f>
        <v>10259.08</v>
      </c>
      <c r="Q20" s="715">
        <f>Q16/Q18</f>
        <v>12033.037333333334</v>
      </c>
      <c r="R20" s="226">
        <f>+Q20/16</f>
        <v>752.06483333333335</v>
      </c>
    </row>
    <row r="21" spans="2:18" s="445" customFormat="1" ht="15.5" x14ac:dyDescent="0.35">
      <c r="B21" s="662" t="s">
        <v>495</v>
      </c>
      <c r="C21" s="655" t="s">
        <v>186</v>
      </c>
      <c r="E21" s="657">
        <f>+SUM(E19:E20)+E16</f>
        <v>82.198295812152026</v>
      </c>
      <c r="F21" s="658">
        <f>+SUM(F19:F20)+F16</f>
        <v>51.57277777777778</v>
      </c>
      <c r="H21" s="657">
        <f t="shared" ref="H21:I21" si="4">+SUM(H19:H20)+H16</f>
        <v>89.108455334847804</v>
      </c>
      <c r="I21" s="658">
        <f t="shared" si="4"/>
        <v>65.99417053950566</v>
      </c>
      <c r="K21" s="657">
        <f t="shared" ref="K21" si="5">+SUM(K19:K20)+K16</f>
        <v>86.104097259721385</v>
      </c>
      <c r="L21" s="658">
        <f>+SUM(L18:L20)+L16</f>
        <v>53</v>
      </c>
    </row>
    <row r="22" spans="2:18" s="226" customFormat="1" x14ac:dyDescent="0.35">
      <c r="B22" s="661"/>
      <c r="C22" s="650"/>
      <c r="E22" s="645"/>
      <c r="F22" s="648"/>
      <c r="H22" s="644"/>
      <c r="I22" s="648"/>
      <c r="K22" s="644"/>
      <c r="L22" s="648"/>
      <c r="O22" s="226" t="s">
        <v>554</v>
      </c>
      <c r="P22" s="712">
        <v>7218000</v>
      </c>
      <c r="Q22" s="712">
        <v>1235531000</v>
      </c>
    </row>
    <row r="23" spans="2:18" s="226" customFormat="1" x14ac:dyDescent="0.35">
      <c r="B23" s="661" t="s">
        <v>78</v>
      </c>
      <c r="C23" s="650" t="s">
        <v>186</v>
      </c>
      <c r="E23" s="645">
        <f>+'Fixed Cost'!D11*12*1000000/$E$61</f>
        <v>9.56</v>
      </c>
      <c r="F23" s="648">
        <f>+'Fixed Cost'!E11*12*1000000/$E$61</f>
        <v>10.080000000000002</v>
      </c>
      <c r="H23" s="645">
        <f>+'Fixed Cost'!G11*12*1000000/$H$61</f>
        <v>1.8571428571428572</v>
      </c>
      <c r="I23" s="648">
        <f>+H23</f>
        <v>1.8571428571428572</v>
      </c>
      <c r="K23" s="645">
        <f>+'Fixed Cost'!F11*12*1000000/$K$61</f>
        <v>41.333333333333329</v>
      </c>
      <c r="L23" s="648">
        <f t="shared" ref="L23" si="6">+K23</f>
        <v>41.333333333333329</v>
      </c>
      <c r="O23" s="226" t="s">
        <v>555</v>
      </c>
      <c r="P23" s="716">
        <f>+P22/P18</f>
        <v>6.0149999999999997</v>
      </c>
      <c r="Q23" s="716">
        <f>+Q22/Q18</f>
        <v>411.84366666666665</v>
      </c>
    </row>
    <row r="24" spans="2:18" s="226" customFormat="1" ht="15" thickBot="1" x14ac:dyDescent="0.4">
      <c r="B24" s="661"/>
      <c r="C24" s="650"/>
      <c r="E24" s="645"/>
      <c r="F24" s="648"/>
      <c r="H24" s="645"/>
      <c r="I24" s="648"/>
      <c r="K24" s="645"/>
      <c r="L24" s="648"/>
    </row>
    <row r="25" spans="2:18" s="226" customFormat="1" ht="15.5" x14ac:dyDescent="0.35">
      <c r="B25" s="782" t="s">
        <v>531</v>
      </c>
      <c r="C25" s="663" t="s">
        <v>186</v>
      </c>
      <c r="E25" s="676">
        <f>+E23+E21+E17</f>
        <v>600.56128380029645</v>
      </c>
      <c r="F25" s="677">
        <f>+F23+F21+F17</f>
        <v>636.20977366255158</v>
      </c>
      <c r="G25" s="445"/>
      <c r="H25" s="676">
        <f t="shared" ref="H25:I25" si="7">+H23+H21+H17</f>
        <v>611.68160742917132</v>
      </c>
      <c r="I25" s="677">
        <f t="shared" si="7"/>
        <v>594.65090937790262</v>
      </c>
      <c r="J25" s="445"/>
      <c r="K25" s="676">
        <f t="shared" ref="K25:L25" si="8">+K23+K21+K17</f>
        <v>626.44701017157593</v>
      </c>
      <c r="L25" s="677">
        <f t="shared" si="8"/>
        <v>631.40770133827175</v>
      </c>
    </row>
    <row r="26" spans="2:18" s="656" customFormat="1" ht="16" thickBot="1" x14ac:dyDescent="0.4">
      <c r="B26" s="783"/>
      <c r="C26" s="655" t="s">
        <v>345</v>
      </c>
      <c r="E26" s="659">
        <f>+E25*E42</f>
        <v>9729.0927975648028</v>
      </c>
      <c r="F26" s="660">
        <f>+F25*F42</f>
        <v>10306.598333333335</v>
      </c>
      <c r="H26" s="659">
        <f>+H25*H42</f>
        <v>9909.2420403525757</v>
      </c>
      <c r="I26" s="660">
        <f>+I25*I42</f>
        <v>9633.3447319220213</v>
      </c>
      <c r="K26" s="659">
        <f>+K25*K42</f>
        <v>10148.44156477953</v>
      </c>
      <c r="L26" s="660">
        <f>+L25*L42</f>
        <v>10228.804761680001</v>
      </c>
    </row>
    <row r="27" spans="2:18" s="656" customFormat="1" ht="16" thickBot="1" x14ac:dyDescent="0.4">
      <c r="C27" s="413"/>
      <c r="E27" s="536"/>
      <c r="F27" s="536"/>
      <c r="H27" s="536"/>
      <c r="I27" s="536"/>
      <c r="K27" s="536"/>
      <c r="L27" s="536"/>
    </row>
    <row r="28" spans="2:18" s="445" customFormat="1" ht="16" thickBot="1" x14ac:dyDescent="0.4">
      <c r="B28" s="687" t="s">
        <v>329</v>
      </c>
      <c r="C28" s="688" t="s">
        <v>345</v>
      </c>
      <c r="E28" s="689">
        <f>+E44-E26</f>
        <v>-429.09279756480282</v>
      </c>
      <c r="F28" s="690">
        <f>+F44-F26</f>
        <v>-1006.5983333333352</v>
      </c>
      <c r="H28" s="689">
        <f>+H44-H26</f>
        <v>-609.24204035257571</v>
      </c>
      <c r="I28" s="690">
        <f>+I44-I26</f>
        <v>-333.34473192202131</v>
      </c>
      <c r="K28" s="689">
        <f>+K44-K26</f>
        <v>-848.44156477953038</v>
      </c>
      <c r="L28" s="690">
        <f>+L44-L26</f>
        <v>-928.80476168000132</v>
      </c>
    </row>
    <row r="29" spans="2:18" s="445" customFormat="1" ht="15.5" x14ac:dyDescent="0.35">
      <c r="C29" s="413"/>
      <c r="E29" s="536"/>
      <c r="F29" s="536"/>
      <c r="H29" s="536"/>
      <c r="I29" s="536"/>
      <c r="K29" s="536"/>
      <c r="L29" s="536"/>
    </row>
    <row r="30" spans="2:18" s="445" customFormat="1" ht="15.5" x14ac:dyDescent="0.35">
      <c r="C30" s="413"/>
      <c r="E30" s="536"/>
      <c r="F30" s="536"/>
      <c r="H30" s="536"/>
      <c r="I30" s="536"/>
      <c r="K30" s="536"/>
      <c r="L30" s="536"/>
    </row>
    <row r="31" spans="2:18" s="445" customFormat="1" ht="15.5" x14ac:dyDescent="0.35">
      <c r="C31" s="413"/>
      <c r="E31" s="536"/>
      <c r="F31" s="536"/>
      <c r="H31" s="536"/>
      <c r="I31" s="536"/>
      <c r="K31" s="536"/>
      <c r="L31" s="536"/>
    </row>
    <row r="32" spans="2:18" s="445" customFormat="1" ht="15.5" x14ac:dyDescent="0.35">
      <c r="C32" s="413"/>
      <c r="E32" s="536"/>
      <c r="F32" s="536"/>
      <c r="H32" s="536"/>
      <c r="I32" s="536"/>
      <c r="K32" s="536"/>
      <c r="L32" s="536"/>
    </row>
    <row r="33" spans="2:12" s="445" customFormat="1" ht="15.5" x14ac:dyDescent="0.35">
      <c r="C33" s="413"/>
      <c r="E33" s="536"/>
      <c r="F33" s="536"/>
      <c r="H33" s="536"/>
      <c r="I33" s="536"/>
      <c r="K33" s="536"/>
      <c r="L33" s="536"/>
    </row>
    <row r="34" spans="2:12" s="445" customFormat="1" ht="15.5" x14ac:dyDescent="0.35">
      <c r="C34" s="413"/>
      <c r="E34" s="536"/>
      <c r="F34" s="536"/>
      <c r="H34" s="536"/>
      <c r="I34" s="536"/>
      <c r="K34" s="536"/>
      <c r="L34" s="536"/>
    </row>
    <row r="35" spans="2:12" s="445" customFormat="1" ht="15.5" x14ac:dyDescent="0.35">
      <c r="C35" s="413"/>
      <c r="E35" s="536"/>
      <c r="F35" s="536"/>
      <c r="H35" s="536"/>
      <c r="I35" s="536"/>
      <c r="K35" s="536"/>
      <c r="L35" s="536"/>
    </row>
    <row r="36" spans="2:12" s="445" customFormat="1" ht="15.5" x14ac:dyDescent="0.35">
      <c r="C36" s="413"/>
      <c r="E36" s="536"/>
      <c r="F36" s="536"/>
      <c r="H36" s="536"/>
      <c r="I36" s="536"/>
      <c r="K36" s="536"/>
      <c r="L36" s="536"/>
    </row>
    <row r="37" spans="2:12" s="445" customFormat="1" ht="15.5" x14ac:dyDescent="0.35">
      <c r="C37" s="413"/>
      <c r="E37" s="536"/>
      <c r="F37" s="536"/>
      <c r="H37" s="536"/>
      <c r="I37" s="536"/>
      <c r="K37" s="536"/>
      <c r="L37" s="536"/>
    </row>
    <row r="38" spans="2:12" s="445" customFormat="1" ht="15.5" x14ac:dyDescent="0.35">
      <c r="C38" s="413"/>
      <c r="E38" s="536"/>
      <c r="F38" s="536"/>
      <c r="H38" s="536"/>
      <c r="I38" s="536"/>
      <c r="K38" s="536"/>
      <c r="L38" s="536"/>
    </row>
    <row r="39" spans="2:12" s="445" customFormat="1" ht="15.5" x14ac:dyDescent="0.35">
      <c r="C39" s="413"/>
      <c r="E39" s="536"/>
      <c r="F39" s="536"/>
      <c r="H39" s="536"/>
      <c r="I39" s="536"/>
      <c r="K39" s="536"/>
      <c r="L39" s="536"/>
    </row>
    <row r="40" spans="2:12" s="445" customFormat="1" ht="16" thickBot="1" x14ac:dyDescent="0.4">
      <c r="C40" s="413"/>
      <c r="E40" s="536"/>
      <c r="F40" s="536"/>
      <c r="H40" s="536"/>
      <c r="I40" s="536"/>
      <c r="K40" s="536"/>
      <c r="L40" s="536"/>
    </row>
    <row r="41" spans="2:12" s="413" customFormat="1" ht="33" customHeight="1" x14ac:dyDescent="0.35">
      <c r="B41" s="665" t="s">
        <v>498</v>
      </c>
      <c r="C41" s="666" t="s">
        <v>234</v>
      </c>
      <c r="E41" s="776" t="str">
        <f>+E4</f>
        <v>Integrated</v>
      </c>
      <c r="F41" s="777"/>
      <c r="H41" s="776" t="str">
        <f>+H4</f>
        <v>Semi Integrated</v>
      </c>
      <c r="I41" s="777"/>
      <c r="K41" s="776" t="str">
        <f>+K4</f>
        <v>Re-rollers</v>
      </c>
      <c r="L41" s="777"/>
    </row>
    <row r="42" spans="2:12" s="226" customFormat="1" ht="17.25" customHeight="1" x14ac:dyDescent="0.35">
      <c r="B42" s="680" t="s">
        <v>190</v>
      </c>
      <c r="C42" s="681" t="s">
        <v>517</v>
      </c>
      <c r="E42" s="682">
        <f>+'Fixed Cost'!D15</f>
        <v>16.2</v>
      </c>
      <c r="F42" s="683">
        <f>+E42</f>
        <v>16.2</v>
      </c>
      <c r="G42" s="684"/>
      <c r="H42" s="682">
        <f>+'Fixed Cost'!D15</f>
        <v>16.2</v>
      </c>
      <c r="I42" s="683">
        <f>+H42</f>
        <v>16.2</v>
      </c>
      <c r="J42" s="684"/>
      <c r="K42" s="682">
        <f>+'Fixed Cost'!D15</f>
        <v>16.2</v>
      </c>
      <c r="L42" s="683">
        <f>+K42</f>
        <v>16.2</v>
      </c>
    </row>
    <row r="43" spans="2:12" s="226" customFormat="1" x14ac:dyDescent="0.35">
      <c r="B43" s="628" t="s">
        <v>503</v>
      </c>
      <c r="C43" s="650"/>
      <c r="E43" s="644"/>
      <c r="F43" s="670"/>
      <c r="H43" s="644"/>
      <c r="I43" s="670"/>
      <c r="K43" s="644"/>
      <c r="L43" s="670"/>
    </row>
    <row r="44" spans="2:12" s="226" customFormat="1" x14ac:dyDescent="0.35">
      <c r="B44" s="661" t="s">
        <v>499</v>
      </c>
      <c r="C44" s="650" t="s">
        <v>345</v>
      </c>
      <c r="E44" s="645">
        <v>9300</v>
      </c>
      <c r="F44" s="648">
        <f>+E44</f>
        <v>9300</v>
      </c>
      <c r="H44" s="645">
        <f>+F44</f>
        <v>9300</v>
      </c>
      <c r="I44" s="648">
        <f>+H44</f>
        <v>9300</v>
      </c>
      <c r="K44" s="645">
        <f>I44</f>
        <v>9300</v>
      </c>
      <c r="L44" s="648">
        <f>+K44</f>
        <v>9300</v>
      </c>
    </row>
    <row r="45" spans="2:12" s="226" customFormat="1" x14ac:dyDescent="0.35">
      <c r="B45" s="661" t="s">
        <v>502</v>
      </c>
      <c r="C45" s="650" t="s">
        <v>5</v>
      </c>
      <c r="E45" s="651">
        <f>E19/+(E44/E42)</f>
        <v>2.5501935483870967E-2</v>
      </c>
      <c r="F45" s="669">
        <v>0.02</v>
      </c>
      <c r="H45" s="653">
        <v>0.02</v>
      </c>
      <c r="I45" s="669">
        <v>0.02</v>
      </c>
      <c r="K45" s="653">
        <v>0.02</v>
      </c>
      <c r="L45" s="669">
        <v>0.02</v>
      </c>
    </row>
    <row r="46" spans="2:12" s="226" customFormat="1" x14ac:dyDescent="0.35">
      <c r="B46" s="661"/>
      <c r="C46" s="650"/>
      <c r="E46" s="644"/>
      <c r="F46" s="670"/>
      <c r="H46" s="644"/>
      <c r="I46" s="670"/>
      <c r="K46" s="644"/>
      <c r="L46" s="670"/>
    </row>
    <row r="47" spans="2:12" s="226" customFormat="1" x14ac:dyDescent="0.35">
      <c r="B47" s="628" t="s">
        <v>520</v>
      </c>
      <c r="C47" s="650"/>
      <c r="E47" s="644"/>
      <c r="F47" s="670"/>
      <c r="H47" s="644"/>
      <c r="I47" s="670"/>
      <c r="K47" s="644"/>
      <c r="L47" s="670"/>
    </row>
    <row r="48" spans="2:12" s="226" customFormat="1" hidden="1" x14ac:dyDescent="0.35">
      <c r="B48" s="661" t="s">
        <v>521</v>
      </c>
      <c r="C48" s="650" t="s">
        <v>186</v>
      </c>
      <c r="E48" s="645"/>
      <c r="F48" s="648"/>
      <c r="H48" s="645"/>
      <c r="I48" s="648"/>
      <c r="K48" s="645"/>
      <c r="L48" s="648"/>
    </row>
    <row r="49" spans="2:12" s="226" customFormat="1" hidden="1" x14ac:dyDescent="0.35">
      <c r="B49" s="661" t="s">
        <v>522</v>
      </c>
      <c r="C49" s="650" t="s">
        <v>186</v>
      </c>
      <c r="E49" s="645"/>
      <c r="F49" s="648"/>
      <c r="H49" s="645"/>
      <c r="I49" s="648"/>
      <c r="K49" s="645"/>
      <c r="L49" s="648"/>
    </row>
    <row r="50" spans="2:12" s="226" customFormat="1" hidden="1" x14ac:dyDescent="0.35">
      <c r="B50" s="661" t="s">
        <v>523</v>
      </c>
      <c r="C50" s="650" t="s">
        <v>186</v>
      </c>
      <c r="E50" s="645"/>
      <c r="F50" s="648"/>
      <c r="H50" s="645"/>
      <c r="I50" s="648"/>
      <c r="K50" s="645"/>
      <c r="L50" s="648"/>
    </row>
    <row r="51" spans="2:12" s="226" customFormat="1" x14ac:dyDescent="0.35">
      <c r="B51" s="661" t="s">
        <v>174</v>
      </c>
      <c r="C51" s="650" t="s">
        <v>186</v>
      </c>
      <c r="E51" s="645">
        <f>+DRI!E8</f>
        <v>130</v>
      </c>
      <c r="F51" s="648">
        <f>+DRI!E8</f>
        <v>130</v>
      </c>
      <c r="H51" s="645"/>
      <c r="I51" s="648"/>
      <c r="K51" s="645"/>
      <c r="L51" s="648"/>
    </row>
    <row r="52" spans="2:12" s="226" customFormat="1" x14ac:dyDescent="0.35">
      <c r="B52" s="661" t="s">
        <v>200</v>
      </c>
      <c r="C52" s="650" t="s">
        <v>186</v>
      </c>
      <c r="E52" s="645">
        <f>+E8</f>
        <v>262.4212863756614</v>
      </c>
      <c r="F52" s="648">
        <f>+F8</f>
        <v>262.4212863756614</v>
      </c>
      <c r="H52" s="645">
        <f>+Billet!G8</f>
        <v>274.66002568409777</v>
      </c>
      <c r="I52" s="648">
        <v>0</v>
      </c>
      <c r="K52" s="645"/>
      <c r="L52" s="648"/>
    </row>
    <row r="53" spans="2:12" s="226" customFormat="1" x14ac:dyDescent="0.35">
      <c r="B53" s="661" t="s">
        <v>491</v>
      </c>
      <c r="C53" s="650" t="s">
        <v>186</v>
      </c>
      <c r="E53" s="645">
        <f>('EZDK Rebar'!E24*Billet!E10+'EZDK Rebar'!E25*Billet!E9)/('EZDK Rebar'!E24+'EZDK Rebar'!E25)</f>
        <v>300</v>
      </c>
      <c r="F53" s="648">
        <f>('EZDK Rebar'!E24*Billet!E10+'EZDK Rebar'!E25*Billet!E9)/('EZDK Rebar'!E24+'EZDK Rebar'!E25)</f>
        <v>300</v>
      </c>
      <c r="H53" s="645">
        <f>+(Billet!G10*'ESR Rebar'!E26+Billet!G9*'ESR Rebar'!E27)/(+'ESR Rebar'!E26+'ESR Rebar'!E27)</f>
        <v>300</v>
      </c>
      <c r="I53" s="648">
        <f>+(Billet!G10*'ESR Rebar'!E26+Billet!G9*'ESR Rebar'!E27)/(+'ESR Rebar'!E26+'ESR Rebar'!E27)</f>
        <v>300</v>
      </c>
      <c r="K53" s="645"/>
      <c r="L53" s="648"/>
    </row>
    <row r="54" spans="2:12" s="226" customFormat="1" x14ac:dyDescent="0.35">
      <c r="B54" s="661" t="s">
        <v>527</v>
      </c>
      <c r="C54" s="650" t="s">
        <v>186</v>
      </c>
      <c r="E54" s="645"/>
      <c r="F54" s="648"/>
      <c r="H54" s="645"/>
      <c r="I54" s="648"/>
      <c r="K54" s="645">
        <f>+Rebar!G12</f>
        <v>438.89979873044433</v>
      </c>
      <c r="L54" s="648"/>
    </row>
    <row r="55" spans="2:12" s="226" customFormat="1" x14ac:dyDescent="0.35">
      <c r="B55" s="661" t="s">
        <v>524</v>
      </c>
      <c r="C55" s="650" t="s">
        <v>186</v>
      </c>
      <c r="E55" s="645"/>
      <c r="F55" s="648"/>
      <c r="H55" s="645"/>
      <c r="I55" s="648"/>
      <c r="K55" s="645"/>
      <c r="L55" s="648">
        <f>+Billet!E48</f>
        <v>428</v>
      </c>
    </row>
    <row r="56" spans="2:12" s="226" customFormat="1" x14ac:dyDescent="0.35">
      <c r="B56" s="661" t="s">
        <v>525</v>
      </c>
      <c r="C56" s="650" t="s">
        <v>186</v>
      </c>
      <c r="E56" s="645"/>
      <c r="F56" s="648"/>
      <c r="H56" s="645"/>
      <c r="I56" s="648"/>
      <c r="K56" s="645"/>
      <c r="L56" s="648">
        <f>+Billet!E49</f>
        <v>74</v>
      </c>
    </row>
    <row r="57" spans="2:12" s="226" customFormat="1" x14ac:dyDescent="0.35">
      <c r="B57" s="661" t="s">
        <v>246</v>
      </c>
      <c r="C57" s="650" t="s">
        <v>186</v>
      </c>
      <c r="E57" s="645"/>
      <c r="F57" s="648"/>
      <c r="H57" s="645"/>
      <c r="I57" s="648"/>
      <c r="K57" s="645"/>
      <c r="L57" s="648">
        <f>+Billet!E50</f>
        <v>12.36</v>
      </c>
    </row>
    <row r="58" spans="2:12" s="545" customFormat="1" x14ac:dyDescent="0.35">
      <c r="B58" s="668" t="s">
        <v>526</v>
      </c>
      <c r="C58" s="673" t="s">
        <v>186</v>
      </c>
      <c r="E58" s="674"/>
      <c r="F58" s="675"/>
      <c r="H58" s="674"/>
      <c r="I58" s="675"/>
      <c r="K58" s="674"/>
      <c r="L58" s="675">
        <f>+SUM(L55:L57)</f>
        <v>514.36</v>
      </c>
    </row>
    <row r="59" spans="2:12" s="226" customFormat="1" x14ac:dyDescent="0.35">
      <c r="B59" s="661"/>
      <c r="C59" s="650"/>
      <c r="E59" s="645"/>
      <c r="F59" s="648"/>
      <c r="H59" s="645"/>
      <c r="I59" s="648"/>
      <c r="K59" s="645"/>
      <c r="L59" s="648"/>
    </row>
    <row r="60" spans="2:12" s="226" customFormat="1" x14ac:dyDescent="0.35">
      <c r="B60" s="628" t="s">
        <v>504</v>
      </c>
      <c r="C60" s="650"/>
      <c r="E60" s="644"/>
      <c r="F60" s="670"/>
      <c r="H60" s="644"/>
      <c r="I60" s="670"/>
      <c r="K60" s="644"/>
      <c r="L60" s="670"/>
    </row>
    <row r="61" spans="2:12" s="226" customFormat="1" x14ac:dyDescent="0.35">
      <c r="B61" s="661" t="s">
        <v>500</v>
      </c>
      <c r="C61" s="650" t="s">
        <v>501</v>
      </c>
      <c r="E61" s="645">
        <f>(+'Market Share'!E6+'Market Share'!F6+'Market Share'!G6)*12*1000+780000</f>
        <v>3000000</v>
      </c>
      <c r="F61" s="648">
        <f>+E61-1800000</f>
        <v>1200000</v>
      </c>
      <c r="H61" s="645">
        <f>+'Market Share'!E9*12*1000</f>
        <v>840000</v>
      </c>
      <c r="I61" s="648">
        <f>+H61</f>
        <v>840000</v>
      </c>
      <c r="K61" s="645">
        <f>+'Market Share'!E8*12*1000</f>
        <v>360000</v>
      </c>
      <c r="L61" s="648">
        <f>+K61</f>
        <v>360000</v>
      </c>
    </row>
    <row r="62" spans="2:12" s="226" customFormat="1" x14ac:dyDescent="0.35">
      <c r="B62" s="661" t="s">
        <v>528</v>
      </c>
      <c r="C62" s="650" t="s">
        <v>150</v>
      </c>
      <c r="E62" s="678">
        <f>+DRI!E11</f>
        <v>1.5</v>
      </c>
      <c r="F62" s="679">
        <f>+DRI!E11</f>
        <v>1.5</v>
      </c>
      <c r="H62" s="644"/>
      <c r="I62" s="670"/>
      <c r="K62" s="644"/>
      <c r="L62" s="670"/>
    </row>
    <row r="63" spans="2:12" s="226" customFormat="1" x14ac:dyDescent="0.35">
      <c r="B63" s="661" t="s">
        <v>204</v>
      </c>
      <c r="C63" s="650" t="s">
        <v>5</v>
      </c>
      <c r="E63" s="647">
        <f>+Billet!E13</f>
        <v>80</v>
      </c>
      <c r="F63" s="671">
        <f>+Billet!F13</f>
        <v>80</v>
      </c>
      <c r="H63" s="644">
        <f>+Billet!G13</f>
        <v>20</v>
      </c>
      <c r="I63" s="670">
        <v>0</v>
      </c>
      <c r="K63" s="644"/>
      <c r="L63" s="670"/>
    </row>
    <row r="64" spans="2:12" s="226" customFormat="1" x14ac:dyDescent="0.35">
      <c r="B64" s="661" t="s">
        <v>489</v>
      </c>
      <c r="C64" s="650" t="s">
        <v>5</v>
      </c>
      <c r="E64" s="647">
        <f>+Billet!E17*Billet!E18/100</f>
        <v>84.403434000000004</v>
      </c>
      <c r="F64" s="671">
        <f>+Billet!E17*Billet!E18/100</f>
        <v>84.403434000000004</v>
      </c>
      <c r="H64" s="645">
        <f>+Billet!G17*Billet!G18/100</f>
        <v>86.039749999999984</v>
      </c>
      <c r="I64" s="648">
        <f>+Billet!G17*Billet!G18/100</f>
        <v>86.039749999999984</v>
      </c>
      <c r="K64" s="645"/>
      <c r="L64" s="648"/>
    </row>
    <row r="65" spans="2:12" s="226" customFormat="1" x14ac:dyDescent="0.35">
      <c r="B65" s="661" t="s">
        <v>237</v>
      </c>
      <c r="C65" s="650" t="s">
        <v>5</v>
      </c>
      <c r="E65" s="647">
        <f>+Rebar!E6</f>
        <v>93.62</v>
      </c>
      <c r="F65" s="671">
        <f>+Rebar!E6</f>
        <v>93.62</v>
      </c>
      <c r="H65" s="645">
        <f>+Rebar!H6</f>
        <v>96.822729444709296</v>
      </c>
      <c r="I65" s="648">
        <f>+Rebar!H6</f>
        <v>96.822729444709296</v>
      </c>
      <c r="K65" s="645">
        <f>+Rebar!G6</f>
        <v>97.917872494526449</v>
      </c>
      <c r="L65" s="648">
        <f>+K65</f>
        <v>97.917872494526449</v>
      </c>
    </row>
    <row r="66" spans="2:12" s="226" customFormat="1" x14ac:dyDescent="0.35">
      <c r="B66" s="661"/>
      <c r="C66" s="650"/>
      <c r="E66" s="647"/>
      <c r="F66" s="671"/>
      <c r="H66" s="644"/>
      <c r="I66" s="670"/>
      <c r="K66" s="644"/>
      <c r="L66" s="670"/>
    </row>
    <row r="67" spans="2:12" s="226" customFormat="1" x14ac:dyDescent="0.35">
      <c r="B67" s="628" t="s">
        <v>505</v>
      </c>
      <c r="C67" s="650"/>
      <c r="E67" s="644"/>
      <c r="F67" s="670"/>
      <c r="H67" s="644"/>
      <c r="I67" s="670"/>
      <c r="K67" s="644"/>
      <c r="L67" s="670"/>
    </row>
    <row r="68" spans="2:12" s="226" customFormat="1" x14ac:dyDescent="0.35">
      <c r="B68" s="661" t="s">
        <v>182</v>
      </c>
      <c r="C68" s="650" t="s">
        <v>186</v>
      </c>
      <c r="E68" s="645">
        <f>(E62-1)*E6</f>
        <v>97.5</v>
      </c>
      <c r="F68" s="648">
        <f>+E68</f>
        <v>97.5</v>
      </c>
      <c r="H68" s="644"/>
      <c r="I68" s="648"/>
      <c r="K68" s="644"/>
      <c r="L68" s="648"/>
    </row>
    <row r="69" spans="2:12" s="226" customFormat="1" x14ac:dyDescent="0.35">
      <c r="B69" s="661" t="s">
        <v>200</v>
      </c>
      <c r="C69" s="650" t="s">
        <v>186</v>
      </c>
      <c r="E69" s="647">
        <f>+E52</f>
        <v>262.4212863756614</v>
      </c>
      <c r="F69" s="671">
        <f>+F52</f>
        <v>262.4212863756614</v>
      </c>
      <c r="H69" s="647">
        <f>+H52</f>
        <v>274.66002568409777</v>
      </c>
      <c r="I69" s="671">
        <f>+I52</f>
        <v>0</v>
      </c>
      <c r="K69" s="647"/>
      <c r="L69" s="671"/>
    </row>
    <row r="70" spans="2:12" s="226" customFormat="1" x14ac:dyDescent="0.35">
      <c r="B70" s="661" t="s">
        <v>496</v>
      </c>
      <c r="C70" s="650" t="s">
        <v>186</v>
      </c>
      <c r="E70" s="647">
        <f>(E69*E63/100)*(1/(E64*E65/10000)-1)</f>
        <v>55.743846417938329</v>
      </c>
      <c r="F70" s="671">
        <f>(F69*F63/100)*(1/(F64*F65/10000)-1)</f>
        <v>55.743846417938329</v>
      </c>
      <c r="H70" s="647">
        <f>(H69*H63/100)*(1/(H64*H65/10000)-1)</f>
        <v>11.008002163428552</v>
      </c>
      <c r="I70" s="671">
        <f>(I69*I63/100)*(1/(I64*I65/10000)-1)</f>
        <v>0</v>
      </c>
      <c r="K70" s="647"/>
      <c r="L70" s="671"/>
    </row>
    <row r="71" spans="2:12" s="226" customFormat="1" x14ac:dyDescent="0.35">
      <c r="B71" s="661" t="s">
        <v>490</v>
      </c>
      <c r="C71" s="650" t="s">
        <v>186</v>
      </c>
      <c r="E71" s="647">
        <f>+E53</f>
        <v>300</v>
      </c>
      <c r="F71" s="671">
        <f>+F53</f>
        <v>300</v>
      </c>
      <c r="H71" s="647">
        <f>+H53</f>
        <v>300</v>
      </c>
      <c r="I71" s="671">
        <f>+I53</f>
        <v>300</v>
      </c>
      <c r="K71" s="647"/>
      <c r="L71" s="671"/>
    </row>
    <row r="72" spans="2:12" s="226" customFormat="1" x14ac:dyDescent="0.35">
      <c r="B72" s="661" t="s">
        <v>497</v>
      </c>
      <c r="C72" s="650" t="s">
        <v>186</v>
      </c>
      <c r="E72" s="647">
        <f>+E71*((100-E63)/100)*(1/(E64*E65/10000)-1)</f>
        <v>15.931590531724211</v>
      </c>
      <c r="F72" s="671">
        <f>+F71*((100-F63)/100)*(1/(F64*F65/10000)-1)</f>
        <v>15.931590531724211</v>
      </c>
      <c r="H72" s="647">
        <f>+H71*((100-H63)/100)*(1/(H64*H65/10000)-1)</f>
        <v>48.094376177286833</v>
      </c>
      <c r="I72" s="671">
        <f>+I71*((100-I63)/100)*(1/(I64*I65/10000)-1)</f>
        <v>60.117970221608545</v>
      </c>
      <c r="K72" s="647"/>
      <c r="L72" s="671"/>
    </row>
    <row r="73" spans="2:12" s="445" customFormat="1" ht="15.5" x14ac:dyDescent="0.35">
      <c r="B73" s="662" t="s">
        <v>488</v>
      </c>
      <c r="C73" s="655" t="s">
        <v>186</v>
      </c>
      <c r="E73" s="657">
        <f>+E72+E70</f>
        <v>71.67543694966254</v>
      </c>
      <c r="F73" s="658">
        <f>+F72+F70</f>
        <v>71.67543694966254</v>
      </c>
      <c r="H73" s="657">
        <f>+H72+H70</f>
        <v>59.102378340715383</v>
      </c>
      <c r="I73" s="658">
        <f>+I72+I70</f>
        <v>60.117970221608545</v>
      </c>
      <c r="K73" s="657">
        <f>K54*((1/(K65/100))-1)</f>
        <v>9.3327736786208497</v>
      </c>
      <c r="L73" s="658">
        <f>L58*((1/(L65/100))-1)</f>
        <v>10.937360835482288</v>
      </c>
    </row>
    <row r="74" spans="2:12" s="226" customFormat="1" x14ac:dyDescent="0.35">
      <c r="B74" s="661"/>
      <c r="C74" s="650"/>
      <c r="E74" s="644"/>
      <c r="F74" s="670"/>
      <c r="H74" s="644"/>
      <c r="I74" s="670"/>
      <c r="K74" s="644"/>
      <c r="L74" s="670"/>
    </row>
    <row r="75" spans="2:12" s="226" customFormat="1" x14ac:dyDescent="0.35">
      <c r="B75" s="628" t="s">
        <v>509</v>
      </c>
      <c r="C75" s="650"/>
      <c r="E75" s="644"/>
      <c r="F75" s="670"/>
      <c r="H75" s="644"/>
      <c r="I75" s="670"/>
      <c r="K75" s="644"/>
      <c r="L75" s="670"/>
    </row>
    <row r="76" spans="2:12" s="545" customFormat="1" x14ac:dyDescent="0.35">
      <c r="B76" s="668" t="s">
        <v>506</v>
      </c>
      <c r="C76" s="673" t="s">
        <v>508</v>
      </c>
      <c r="E76" s="674">
        <v>2000000000</v>
      </c>
      <c r="F76" s="675">
        <f>+F83</f>
        <v>412981315.00000012</v>
      </c>
      <c r="H76" s="674">
        <f>+H83</f>
        <v>273635860.19660878</v>
      </c>
      <c r="I76" s="675">
        <f>+I83</f>
        <v>265528672.70159283</v>
      </c>
      <c r="K76" s="674">
        <f t="shared" ref="K76:L76" si="9">+K83</f>
        <v>111415095.21869515</v>
      </c>
      <c r="L76" s="675">
        <f t="shared" si="9"/>
        <v>113542892.13992402</v>
      </c>
    </row>
    <row r="77" spans="2:12" s="226" customFormat="1" x14ac:dyDescent="0.35">
      <c r="B77" s="775" t="s">
        <v>507</v>
      </c>
      <c r="C77" s="650" t="s">
        <v>345</v>
      </c>
      <c r="E77" s="647">
        <f>+(1-5.5/17)*E76/E61</f>
        <v>450.98039215686276</v>
      </c>
      <c r="F77" s="671">
        <f>+F76/F61</f>
        <v>344.15109583333344</v>
      </c>
      <c r="H77" s="647">
        <f t="shared" ref="H77:I77" si="10">+H76/H61</f>
        <v>325.75697642453429</v>
      </c>
      <c r="I77" s="671">
        <f t="shared" si="10"/>
        <v>316.10556273999146</v>
      </c>
      <c r="K77" s="647">
        <f t="shared" ref="K77:L77" si="11">+K76/K61</f>
        <v>309.48637560748654</v>
      </c>
      <c r="L77" s="671">
        <f t="shared" si="11"/>
        <v>315.39692261090005</v>
      </c>
    </row>
    <row r="78" spans="2:12" s="226" customFormat="1" x14ac:dyDescent="0.35">
      <c r="B78" s="775"/>
      <c r="C78" s="650" t="s">
        <v>186</v>
      </c>
      <c r="E78" s="647">
        <f>+E77/E42</f>
        <v>27.838295812152023</v>
      </c>
      <c r="F78" s="671">
        <f>+F77/F42</f>
        <v>21.243894804526757</v>
      </c>
      <c r="H78" s="647">
        <f>+H77/H42</f>
        <v>20.108455334847797</v>
      </c>
      <c r="I78" s="671">
        <f>+I77/I42</f>
        <v>19.512689058024165</v>
      </c>
      <c r="K78" s="647">
        <f>+K77/K42</f>
        <v>19.104097259721392</v>
      </c>
      <c r="L78" s="671">
        <f>+L77/L42</f>
        <v>19.468945840179018</v>
      </c>
    </row>
    <row r="79" spans="2:12" s="226" customFormat="1" x14ac:dyDescent="0.35">
      <c r="B79" s="661"/>
      <c r="C79" s="650"/>
      <c r="E79" s="644"/>
      <c r="F79" s="670"/>
      <c r="H79" s="644"/>
      <c r="I79" s="670"/>
      <c r="K79" s="644"/>
      <c r="L79" s="670"/>
    </row>
    <row r="80" spans="2:12" s="226" customFormat="1" x14ac:dyDescent="0.35">
      <c r="B80" s="661" t="s">
        <v>512</v>
      </c>
      <c r="C80" s="650" t="s">
        <v>186</v>
      </c>
      <c r="E80" s="644"/>
      <c r="F80" s="648">
        <f>F17+F19</f>
        <v>586.03847736625528</v>
      </c>
      <c r="H80" s="645">
        <f t="shared" ref="H80:I80" si="12">H17+H19</f>
        <v>554.71600923718063</v>
      </c>
      <c r="I80" s="648">
        <f t="shared" si="12"/>
        <v>538.28107746273565</v>
      </c>
      <c r="K80" s="645">
        <f t="shared" ref="K80:L80" si="13">K17+K19</f>
        <v>527.0095795785212</v>
      </c>
      <c r="L80" s="648">
        <f t="shared" si="13"/>
        <v>537.07436800493838</v>
      </c>
    </row>
    <row r="81" spans="2:12" s="545" customFormat="1" x14ac:dyDescent="0.35">
      <c r="B81" s="668" t="s">
        <v>516</v>
      </c>
      <c r="C81" s="673" t="s">
        <v>514</v>
      </c>
      <c r="E81" s="628"/>
      <c r="F81" s="675">
        <f>+F80*F61*F42*90/360</f>
        <v>2848147000.000001</v>
      </c>
      <c r="H81" s="674">
        <f>+H80*H61*H42*90/360</f>
        <v>1887143863.4248884</v>
      </c>
      <c r="I81" s="675">
        <f>+I80*I61*I42*90/360</f>
        <v>1831232225.5282266</v>
      </c>
      <c r="K81" s="674">
        <f>+K80*K61*K42*90/360</f>
        <v>768379967.02548385</v>
      </c>
      <c r="L81" s="675">
        <f>+L80*L61*L42*90/360</f>
        <v>783054428.55120015</v>
      </c>
    </row>
    <row r="82" spans="2:12" s="226" customFormat="1" x14ac:dyDescent="0.35">
      <c r="B82" s="661" t="s">
        <v>513</v>
      </c>
      <c r="C82" s="650" t="s">
        <v>5</v>
      </c>
      <c r="E82" s="644"/>
      <c r="F82" s="672">
        <v>0.14499999999999999</v>
      </c>
      <c r="H82" s="654">
        <v>0.14499999999999999</v>
      </c>
      <c r="I82" s="672">
        <v>0.14499999999999999</v>
      </c>
      <c r="K82" s="654">
        <v>0.14499999999999999</v>
      </c>
      <c r="L82" s="672">
        <v>0.14499999999999999</v>
      </c>
    </row>
    <row r="83" spans="2:12" s="226" customFormat="1" ht="15" thickBot="1" x14ac:dyDescent="0.4">
      <c r="B83" s="667" t="s">
        <v>515</v>
      </c>
      <c r="C83" s="664" t="s">
        <v>508</v>
      </c>
      <c r="E83" s="652"/>
      <c r="F83" s="649">
        <f>+F82*F81</f>
        <v>412981315.00000012</v>
      </c>
      <c r="H83" s="646">
        <f>+H82*H81</f>
        <v>273635860.19660878</v>
      </c>
      <c r="I83" s="649">
        <f>+I82*I81</f>
        <v>265528672.70159283</v>
      </c>
      <c r="K83" s="646">
        <f t="shared" ref="K83:L83" si="14">+K82*K81</f>
        <v>111415095.21869515</v>
      </c>
      <c r="L83" s="649">
        <f t="shared" si="14"/>
        <v>113542892.13992402</v>
      </c>
    </row>
    <row r="84" spans="2:12" x14ac:dyDescent="0.35">
      <c r="F84" s="381"/>
    </row>
  </sheetData>
  <mergeCells count="12">
    <mergeCell ref="B2:L2"/>
    <mergeCell ref="L18:L20"/>
    <mergeCell ref="E4:F4"/>
    <mergeCell ref="B77:B78"/>
    <mergeCell ref="H4:I4"/>
    <mergeCell ref="K4:L4"/>
    <mergeCell ref="E41:F41"/>
    <mergeCell ref="H41:I41"/>
    <mergeCell ref="K41:L41"/>
    <mergeCell ref="B4:B5"/>
    <mergeCell ref="C4:C5"/>
    <mergeCell ref="B25:B26"/>
  </mergeCells>
  <printOptions horizontalCentered="1" verticalCentered="1"/>
  <pageMargins left="0.25" right="0.25" top="0.75" bottom="0.75" header="0.3" footer="0.3"/>
  <pageSetup scale="41" orientation="landscape" horizontalDpi="4294967295" verticalDpi="4294967295" r:id="rId1"/>
  <headerFooter>
    <oddFooter>&amp;C&amp;1#&amp;"Calibri"&amp;10&amp;K737373EZDK Business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1:Q21"/>
  <sheetViews>
    <sheetView workbookViewId="0">
      <selection activeCell="S30" sqref="S30"/>
    </sheetView>
  </sheetViews>
  <sheetFormatPr defaultRowHeight="14.5" x14ac:dyDescent="0.35"/>
  <cols>
    <col min="2" max="2" width="16.54296875" bestFit="1" customWidth="1"/>
    <col min="10" max="10" width="16.54296875" bestFit="1" customWidth="1"/>
    <col min="11" max="11" width="8.1796875" customWidth="1"/>
    <col min="13" max="13" width="9.54296875" bestFit="1" customWidth="1"/>
    <col min="17" max="17" width="9.54296875" hidden="1" customWidth="1"/>
  </cols>
  <sheetData>
    <row r="1" spans="2:17" ht="15" thickBot="1" x14ac:dyDescent="0.4"/>
    <row r="2" spans="2:17" ht="15" thickBot="1" x14ac:dyDescent="0.4">
      <c r="B2" s="842" t="s">
        <v>547</v>
      </c>
      <c r="C2" s="843"/>
      <c r="D2" s="843"/>
      <c r="E2" s="843"/>
      <c r="F2" s="843"/>
      <c r="G2" s="843"/>
      <c r="H2" s="844"/>
      <c r="I2" s="221"/>
      <c r="J2" s="842" t="s">
        <v>199</v>
      </c>
      <c r="K2" s="843"/>
      <c r="L2" s="843"/>
      <c r="M2" s="843"/>
      <c r="N2" s="843"/>
      <c r="O2" s="843"/>
      <c r="P2" s="844"/>
    </row>
    <row r="3" spans="2:17" x14ac:dyDescent="0.35">
      <c r="B3" s="703"/>
      <c r="C3" s="709" t="s">
        <v>178</v>
      </c>
      <c r="D3" s="706" t="s">
        <v>539</v>
      </c>
      <c r="E3" s="704" t="s">
        <v>549</v>
      </c>
      <c r="F3" s="704" t="s">
        <v>540</v>
      </c>
      <c r="G3" s="704" t="s">
        <v>541</v>
      </c>
      <c r="H3" s="705" t="s">
        <v>550</v>
      </c>
      <c r="J3" s="703"/>
      <c r="K3" s="709" t="s">
        <v>178</v>
      </c>
      <c r="L3" s="706" t="s">
        <v>539</v>
      </c>
      <c r="M3" s="704" t="s">
        <v>549</v>
      </c>
      <c r="N3" s="704" t="s">
        <v>540</v>
      </c>
      <c r="O3" s="704" t="s">
        <v>541</v>
      </c>
      <c r="P3" s="705" t="s">
        <v>550</v>
      </c>
    </row>
    <row r="4" spans="2:17" x14ac:dyDescent="0.35">
      <c r="B4" s="693" t="s">
        <v>318</v>
      </c>
      <c r="C4" s="695" t="s">
        <v>542</v>
      </c>
      <c r="D4" s="707">
        <v>1.123</v>
      </c>
      <c r="E4" s="694">
        <v>295</v>
      </c>
      <c r="F4" s="696">
        <v>0</v>
      </c>
      <c r="G4" s="697">
        <f t="shared" ref="G4:G14" si="0">+E4*D4-F4</f>
        <v>331.28500000000003</v>
      </c>
      <c r="H4" s="698">
        <f>+G4+F4</f>
        <v>331.28500000000003</v>
      </c>
      <c r="I4" s="583"/>
      <c r="J4" s="693" t="s">
        <v>318</v>
      </c>
      <c r="K4" s="695" t="s">
        <v>542</v>
      </c>
      <c r="L4" s="707">
        <f>689.87627028695/1000</f>
        <v>0.68987627028694998</v>
      </c>
      <c r="M4" s="694">
        <f>5851.53553724831/16.3</f>
        <v>358.98991026063248</v>
      </c>
      <c r="N4" s="696">
        <v>0</v>
      </c>
      <c r="O4" s="697">
        <f t="shared" ref="O4:O14" si="1">+M4*L4-N4</f>
        <v>247.65862036125202</v>
      </c>
      <c r="P4" s="698">
        <f>+O4+N4</f>
        <v>247.65862036125202</v>
      </c>
      <c r="Q4" s="692">
        <f>+P4*16.3</f>
        <v>4036.8355118884083</v>
      </c>
    </row>
    <row r="5" spans="2:17" x14ac:dyDescent="0.35">
      <c r="B5" s="693" t="s">
        <v>548</v>
      </c>
      <c r="C5" s="695" t="s">
        <v>542</v>
      </c>
      <c r="D5" s="707">
        <v>1.123</v>
      </c>
      <c r="E5" s="694">
        <v>5</v>
      </c>
      <c r="F5" s="696">
        <v>0</v>
      </c>
      <c r="G5" s="697">
        <f t="shared" si="0"/>
        <v>5.6150000000000002</v>
      </c>
      <c r="H5" s="698">
        <f t="shared" ref="H5:H18" si="2">+G5+F5</f>
        <v>5.6150000000000002</v>
      </c>
      <c r="I5" s="583"/>
      <c r="J5" s="693" t="s">
        <v>548</v>
      </c>
      <c r="K5" s="695" t="s">
        <v>542</v>
      </c>
      <c r="L5" s="707">
        <v>0</v>
      </c>
      <c r="M5" s="694">
        <v>0</v>
      </c>
      <c r="N5" s="696">
        <v>0</v>
      </c>
      <c r="O5" s="697">
        <f t="shared" si="1"/>
        <v>0</v>
      </c>
      <c r="P5" s="698">
        <f t="shared" ref="P5:P18" si="3">+O5+N5</f>
        <v>0</v>
      </c>
      <c r="Q5" s="581">
        <f t="shared" ref="Q5:Q18" si="4">+P5*16.3</f>
        <v>0</v>
      </c>
    </row>
    <row r="6" spans="2:17" x14ac:dyDescent="0.35">
      <c r="B6" s="693" t="s">
        <v>532</v>
      </c>
      <c r="C6" s="695" t="s">
        <v>542</v>
      </c>
      <c r="D6" s="707">
        <v>0</v>
      </c>
      <c r="E6" s="694">
        <v>333.76</v>
      </c>
      <c r="F6" s="696">
        <v>0</v>
      </c>
      <c r="G6" s="697">
        <f t="shared" si="0"/>
        <v>0</v>
      </c>
      <c r="H6" s="698">
        <f t="shared" si="2"/>
        <v>0</v>
      </c>
      <c r="I6" s="583"/>
      <c r="J6" s="693" t="s">
        <v>532</v>
      </c>
      <c r="K6" s="695" t="s">
        <v>542</v>
      </c>
      <c r="L6" s="707">
        <f>471.359760819623/1000</f>
        <v>0.471359760819623</v>
      </c>
      <c r="M6" s="694">
        <f>5946.09079077181/16.3</f>
        <v>364.79084605962026</v>
      </c>
      <c r="N6" s="696">
        <v>0</v>
      </c>
      <c r="O6" s="697">
        <f t="shared" si="1"/>
        <v>171.94772594785053</v>
      </c>
      <c r="P6" s="698">
        <f t="shared" si="3"/>
        <v>171.94772594785053</v>
      </c>
      <c r="Q6" s="581">
        <f t="shared" si="4"/>
        <v>2802.7479329499638</v>
      </c>
    </row>
    <row r="7" spans="2:17" x14ac:dyDescent="0.35">
      <c r="B7" s="693" t="s">
        <v>533</v>
      </c>
      <c r="C7" s="695" t="s">
        <v>542</v>
      </c>
      <c r="D7" s="707">
        <v>0</v>
      </c>
      <c r="E7" s="694">
        <v>14</v>
      </c>
      <c r="F7" s="696">
        <v>0</v>
      </c>
      <c r="G7" s="697">
        <f t="shared" si="0"/>
        <v>0</v>
      </c>
      <c r="H7" s="698">
        <f t="shared" si="2"/>
        <v>0</v>
      </c>
      <c r="I7" s="583"/>
      <c r="J7" s="693" t="s">
        <v>533</v>
      </c>
      <c r="K7" s="695" t="s">
        <v>542</v>
      </c>
      <c r="L7" s="707">
        <v>0</v>
      </c>
      <c r="M7" s="694">
        <v>0</v>
      </c>
      <c r="N7" s="696">
        <v>0</v>
      </c>
      <c r="O7" s="697">
        <f t="shared" si="1"/>
        <v>0</v>
      </c>
      <c r="P7" s="698">
        <f t="shared" si="3"/>
        <v>0</v>
      </c>
      <c r="Q7" s="581">
        <f t="shared" si="4"/>
        <v>0</v>
      </c>
    </row>
    <row r="8" spans="2:17" x14ac:dyDescent="0.35">
      <c r="B8" s="693" t="s">
        <v>534</v>
      </c>
      <c r="C8" s="695" t="s">
        <v>543</v>
      </c>
      <c r="D8" s="707">
        <v>16</v>
      </c>
      <c r="E8" s="694">
        <v>0.113</v>
      </c>
      <c r="F8" s="696">
        <v>0</v>
      </c>
      <c r="G8" s="697">
        <f t="shared" si="0"/>
        <v>1.8080000000000001</v>
      </c>
      <c r="H8" s="698">
        <f t="shared" si="2"/>
        <v>1.8080000000000001</v>
      </c>
      <c r="I8" s="583"/>
      <c r="J8" s="693" t="s">
        <v>534</v>
      </c>
      <c r="K8" s="695" t="s">
        <v>543</v>
      </c>
      <c r="L8" s="707">
        <v>1</v>
      </c>
      <c r="M8" s="694">
        <f>142.631124321434/16.3</f>
        <v>8.7503757252413479</v>
      </c>
      <c r="N8" s="696">
        <v>0</v>
      </c>
      <c r="O8" s="697">
        <f t="shared" si="1"/>
        <v>8.7503757252413479</v>
      </c>
      <c r="P8" s="698">
        <f t="shared" si="3"/>
        <v>8.7503757252413479</v>
      </c>
      <c r="Q8" s="581">
        <f t="shared" si="4"/>
        <v>142.63112432143399</v>
      </c>
    </row>
    <row r="9" spans="2:17" x14ac:dyDescent="0.35">
      <c r="B9" s="693" t="s">
        <v>535</v>
      </c>
      <c r="C9" s="695" t="s">
        <v>542</v>
      </c>
      <c r="D9" s="707">
        <v>1.6E-2</v>
      </c>
      <c r="E9" s="694">
        <v>1250</v>
      </c>
      <c r="F9" s="696">
        <v>0</v>
      </c>
      <c r="G9" s="697">
        <f t="shared" si="0"/>
        <v>20</v>
      </c>
      <c r="H9" s="698">
        <f t="shared" si="2"/>
        <v>20</v>
      </c>
      <c r="I9" s="583"/>
      <c r="J9" s="693" t="s">
        <v>535</v>
      </c>
      <c r="K9" s="695" t="s">
        <v>542</v>
      </c>
      <c r="L9" s="707">
        <f>21.2015601866151/1000</f>
        <v>2.12015601866151E-2</v>
      </c>
      <c r="M9" s="694">
        <f>21638.0814465974/16.3</f>
        <v>1327.4896593004539</v>
      </c>
      <c r="N9" s="696">
        <v>0</v>
      </c>
      <c r="O9" s="697">
        <f t="shared" si="1"/>
        <v>28.144851908767748</v>
      </c>
      <c r="P9" s="698">
        <f t="shared" si="3"/>
        <v>28.144851908767748</v>
      </c>
      <c r="Q9" s="581">
        <f t="shared" si="4"/>
        <v>458.76108611291431</v>
      </c>
    </row>
    <row r="10" spans="2:17" x14ac:dyDescent="0.35">
      <c r="B10" s="693" t="s">
        <v>536</v>
      </c>
      <c r="C10" s="695" t="s">
        <v>542</v>
      </c>
      <c r="D10" s="707">
        <v>3.5999999999999997E-2</v>
      </c>
      <c r="E10" s="694">
        <v>123</v>
      </c>
      <c r="F10" s="696">
        <v>0</v>
      </c>
      <c r="G10" s="697">
        <f t="shared" si="0"/>
        <v>4.4279999999999999</v>
      </c>
      <c r="H10" s="698">
        <f t="shared" si="2"/>
        <v>4.4279999999999999</v>
      </c>
      <c r="I10" s="583"/>
      <c r="J10" s="693" t="s">
        <v>536</v>
      </c>
      <c r="K10" s="695" t="s">
        <v>542</v>
      </c>
      <c r="L10" s="707">
        <v>0</v>
      </c>
      <c r="M10" s="694">
        <v>0</v>
      </c>
      <c r="N10" s="696">
        <v>0</v>
      </c>
      <c r="O10" s="697">
        <f t="shared" si="1"/>
        <v>0</v>
      </c>
      <c r="P10" s="698">
        <f t="shared" si="3"/>
        <v>0</v>
      </c>
      <c r="Q10" s="581">
        <f t="shared" si="4"/>
        <v>0</v>
      </c>
    </row>
    <row r="11" spans="2:17" x14ac:dyDescent="0.35">
      <c r="B11" s="693" t="s">
        <v>27</v>
      </c>
      <c r="C11" s="695" t="s">
        <v>542</v>
      </c>
      <c r="D11" s="707">
        <v>2E-3</v>
      </c>
      <c r="E11" s="694">
        <v>9200</v>
      </c>
      <c r="F11" s="696">
        <v>0</v>
      </c>
      <c r="G11" s="697">
        <f t="shared" si="0"/>
        <v>18.400000000000002</v>
      </c>
      <c r="H11" s="698">
        <f t="shared" si="2"/>
        <v>18.400000000000002</v>
      </c>
      <c r="I11" s="583"/>
      <c r="J11" s="693" t="s">
        <v>27</v>
      </c>
      <c r="K11" s="695" t="s">
        <v>542</v>
      </c>
      <c r="L11" s="707">
        <f>1.82856685044683/1000</f>
        <v>1.8285668504468299E-3</v>
      </c>
      <c r="M11" s="694">
        <f>221779.653102083/16.3</f>
        <v>13606.113687244355</v>
      </c>
      <c r="N11" s="696">
        <v>0</v>
      </c>
      <c r="O11" s="697">
        <f t="shared" si="1"/>
        <v>24.879688451905913</v>
      </c>
      <c r="P11" s="698">
        <f t="shared" si="3"/>
        <v>24.879688451905913</v>
      </c>
      <c r="Q11" s="581">
        <f t="shared" si="4"/>
        <v>405.53892176606638</v>
      </c>
    </row>
    <row r="12" spans="2:17" x14ac:dyDescent="0.35">
      <c r="B12" s="693" t="s">
        <v>26</v>
      </c>
      <c r="C12" s="695" t="s">
        <v>542</v>
      </c>
      <c r="D12" s="707">
        <v>1E-3</v>
      </c>
      <c r="E12" s="694">
        <v>1050</v>
      </c>
      <c r="F12" s="696">
        <v>0</v>
      </c>
      <c r="G12" s="697">
        <f t="shared" si="0"/>
        <v>1.05</v>
      </c>
      <c r="H12" s="698">
        <f t="shared" si="2"/>
        <v>1.05</v>
      </c>
      <c r="I12" s="583"/>
      <c r="J12" s="693" t="s">
        <v>26</v>
      </c>
      <c r="K12" s="695" t="s">
        <v>542</v>
      </c>
      <c r="L12" s="707">
        <f>7.67154239185428/1000</f>
        <v>7.6715423918542799E-3</v>
      </c>
      <c r="M12" s="694">
        <f>16540.4227713778/16.3</f>
        <v>1014.7498632747115</v>
      </c>
      <c r="N12" s="696">
        <v>0</v>
      </c>
      <c r="O12" s="697">
        <f t="shared" si="1"/>
        <v>7.7846965932402838</v>
      </c>
      <c r="P12" s="698">
        <f t="shared" si="3"/>
        <v>7.7846965932402838</v>
      </c>
      <c r="Q12" s="581">
        <f t="shared" si="4"/>
        <v>126.89055446981664</v>
      </c>
    </row>
    <row r="13" spans="2:17" x14ac:dyDescent="0.35">
      <c r="B13" s="693" t="s">
        <v>511</v>
      </c>
      <c r="C13" s="695" t="s">
        <v>178</v>
      </c>
      <c r="D13" s="707">
        <v>1</v>
      </c>
      <c r="E13" s="694">
        <v>12</v>
      </c>
      <c r="F13" s="694">
        <v>3</v>
      </c>
      <c r="G13" s="697">
        <f t="shared" si="0"/>
        <v>9</v>
      </c>
      <c r="H13" s="698">
        <f t="shared" si="2"/>
        <v>12</v>
      </c>
      <c r="I13" s="583"/>
      <c r="J13" s="693" t="s">
        <v>511</v>
      </c>
      <c r="K13" s="695" t="s">
        <v>178</v>
      </c>
      <c r="L13" s="707">
        <v>1</v>
      </c>
      <c r="M13" s="694">
        <f>255.251143270712/16.3</f>
        <v>15.659579341761471</v>
      </c>
      <c r="N13" s="694">
        <v>3</v>
      </c>
      <c r="O13" s="697">
        <f t="shared" si="1"/>
        <v>12.659579341761471</v>
      </c>
      <c r="P13" s="698">
        <f t="shared" si="3"/>
        <v>15.659579341761471</v>
      </c>
      <c r="Q13" s="581">
        <f t="shared" si="4"/>
        <v>255.25114327071199</v>
      </c>
    </row>
    <row r="14" spans="2:17" x14ac:dyDescent="0.35">
      <c r="B14" s="693" t="s">
        <v>537</v>
      </c>
      <c r="C14" s="695" t="s">
        <v>544</v>
      </c>
      <c r="D14" s="707">
        <v>-7.0000000000000007E-2</v>
      </c>
      <c r="E14" s="694">
        <v>9.3000000000000007</v>
      </c>
      <c r="F14" s="696">
        <v>0</v>
      </c>
      <c r="G14" s="697">
        <f t="shared" si="0"/>
        <v>-0.65100000000000013</v>
      </c>
      <c r="H14" s="698">
        <f t="shared" si="2"/>
        <v>-0.65100000000000013</v>
      </c>
      <c r="I14" s="583"/>
      <c r="J14" s="693" t="s">
        <v>537</v>
      </c>
      <c r="K14" s="695" t="s">
        <v>544</v>
      </c>
      <c r="L14" s="707">
        <v>0</v>
      </c>
      <c r="M14" s="694">
        <v>0</v>
      </c>
      <c r="N14" s="696">
        <v>0</v>
      </c>
      <c r="O14" s="697">
        <f t="shared" si="1"/>
        <v>0</v>
      </c>
      <c r="P14" s="698">
        <f t="shared" si="3"/>
        <v>0</v>
      </c>
      <c r="Q14" s="581">
        <f t="shared" si="4"/>
        <v>0</v>
      </c>
    </row>
    <row r="15" spans="2:17" x14ac:dyDescent="0.35">
      <c r="B15" s="693" t="s">
        <v>29</v>
      </c>
      <c r="C15" s="695" t="s">
        <v>545</v>
      </c>
      <c r="D15" s="707">
        <v>0.44</v>
      </c>
      <c r="E15" s="694">
        <v>105</v>
      </c>
      <c r="F15" s="694">
        <v>6.93</v>
      </c>
      <c r="G15" s="697">
        <f>+E15*D15-F15</f>
        <v>39.270000000000003</v>
      </c>
      <c r="H15" s="698">
        <f t="shared" si="2"/>
        <v>46.2</v>
      </c>
      <c r="I15" s="583"/>
      <c r="J15" s="693" t="s">
        <v>29</v>
      </c>
      <c r="K15" s="695" t="s">
        <v>545</v>
      </c>
      <c r="L15" s="707">
        <f>612.830891706478/1000</f>
        <v>0.61283089170647809</v>
      </c>
      <c r="M15" s="694">
        <f>1.06517452608809*1000/16.3</f>
        <v>65.348130434852152</v>
      </c>
      <c r="N15" s="694">
        <v>6.93</v>
      </c>
      <c r="O15" s="697">
        <f>+M15*L15-N15</f>
        <v>33.117353045741687</v>
      </c>
      <c r="P15" s="698">
        <f t="shared" si="3"/>
        <v>40.047353045741687</v>
      </c>
      <c r="Q15" s="581">
        <f t="shared" si="4"/>
        <v>652.77185464558954</v>
      </c>
    </row>
    <row r="16" spans="2:17" x14ac:dyDescent="0.35">
      <c r="B16" s="693" t="s">
        <v>77</v>
      </c>
      <c r="C16" s="695" t="s">
        <v>546</v>
      </c>
      <c r="D16" s="707">
        <v>0.29399999999999998</v>
      </c>
      <c r="E16" s="694">
        <v>40.700000000000003</v>
      </c>
      <c r="F16" s="694">
        <v>2.99</v>
      </c>
      <c r="G16" s="697">
        <f t="shared" ref="G16:G17" si="5">+E16*D16-F16</f>
        <v>8.9757999999999996</v>
      </c>
      <c r="H16" s="698">
        <f t="shared" si="2"/>
        <v>11.9658</v>
      </c>
      <c r="I16" s="583"/>
      <c r="J16" s="693" t="s">
        <v>77</v>
      </c>
      <c r="K16" s="695" t="s">
        <v>546</v>
      </c>
      <c r="L16" s="707">
        <v>0</v>
      </c>
      <c r="M16" s="694">
        <v>0</v>
      </c>
      <c r="N16" s="694">
        <f>290.840861515616/16.3</f>
        <v>17.842997638994845</v>
      </c>
      <c r="O16" s="697">
        <v>0</v>
      </c>
      <c r="P16" s="698">
        <f t="shared" si="3"/>
        <v>17.842997638994845</v>
      </c>
      <c r="Q16" s="581">
        <f t="shared" si="4"/>
        <v>290.84086151561598</v>
      </c>
    </row>
    <row r="17" spans="2:17" x14ac:dyDescent="0.35">
      <c r="B17" s="693" t="s">
        <v>538</v>
      </c>
      <c r="C17" s="695" t="s">
        <v>178</v>
      </c>
      <c r="D17" s="707">
        <v>1</v>
      </c>
      <c r="E17" s="694">
        <v>17.489999999999998</v>
      </c>
      <c r="F17" s="694">
        <v>17.489999999999998</v>
      </c>
      <c r="G17" s="697">
        <f t="shared" si="5"/>
        <v>0</v>
      </c>
      <c r="H17" s="698">
        <f t="shared" si="2"/>
        <v>17.489999999999998</v>
      </c>
      <c r="I17" s="583"/>
      <c r="J17" s="693" t="s">
        <v>538</v>
      </c>
      <c r="K17" s="695" t="s">
        <v>178</v>
      </c>
      <c r="L17" s="707">
        <v>0</v>
      </c>
      <c r="M17" s="694">
        <v>0</v>
      </c>
      <c r="N17" s="694">
        <f>104.10750553255/16.3</f>
        <v>6.3869635296042935</v>
      </c>
      <c r="O17" s="697">
        <v>0</v>
      </c>
      <c r="P17" s="698">
        <f t="shared" si="3"/>
        <v>6.3869635296042935</v>
      </c>
      <c r="Q17" s="581">
        <f t="shared" si="4"/>
        <v>104.10750553254999</v>
      </c>
    </row>
    <row r="18" spans="2:17" ht="15" thickBot="1" x14ac:dyDescent="0.4">
      <c r="B18" s="699" t="s">
        <v>300</v>
      </c>
      <c r="C18" s="710"/>
      <c r="D18" s="708"/>
      <c r="E18" s="700"/>
      <c r="F18" s="701">
        <f>SUM(F4:F17)</f>
        <v>30.409999999999997</v>
      </c>
      <c r="G18" s="701">
        <f>SUM(G4:G17)</f>
        <v>439.18079999999998</v>
      </c>
      <c r="H18" s="702">
        <f t="shared" si="2"/>
        <v>469.59079999999994</v>
      </c>
      <c r="I18" s="583"/>
      <c r="J18" s="699" t="s">
        <v>300</v>
      </c>
      <c r="K18" s="710"/>
      <c r="L18" s="708"/>
      <c r="M18" s="700"/>
      <c r="N18" s="701">
        <f>SUM(N4:N17)</f>
        <v>34.159961168599139</v>
      </c>
      <c r="O18" s="701">
        <f>SUM(O4:O17)</f>
        <v>534.94289137576095</v>
      </c>
      <c r="P18" s="702">
        <f t="shared" si="3"/>
        <v>569.10285254436008</v>
      </c>
      <c r="Q18" s="581">
        <f t="shared" si="4"/>
        <v>9276.376496473069</v>
      </c>
    </row>
    <row r="20" spans="2:17" x14ac:dyDescent="0.35">
      <c r="B20" t="s">
        <v>551</v>
      </c>
      <c r="C20" s="547">
        <f>1/D4</f>
        <v>0.89047195013357083</v>
      </c>
      <c r="J20" t="s">
        <v>551</v>
      </c>
      <c r="K20" s="547">
        <f>1/(L4+L6)</f>
        <v>0.86115137079158066</v>
      </c>
    </row>
    <row r="21" spans="2:17" x14ac:dyDescent="0.35">
      <c r="B21" t="s">
        <v>552</v>
      </c>
      <c r="C21" s="547">
        <f>+D6/(D4+D6)</f>
        <v>0</v>
      </c>
      <c r="J21" t="s">
        <v>552</v>
      </c>
      <c r="K21" s="547">
        <f>+L6/(L4+L6)</f>
        <v>0.40591210416580997</v>
      </c>
    </row>
  </sheetData>
  <mergeCells count="2">
    <mergeCell ref="B2:H2"/>
    <mergeCell ref="J2:P2"/>
  </mergeCells>
  <pageMargins left="0.25" right="0.25" top="0.75" bottom="0.75" header="0.3" footer="0.3"/>
  <pageSetup scale="83" orientation="landscape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3:H35"/>
  <sheetViews>
    <sheetView workbookViewId="0">
      <selection activeCell="B4" sqref="B4:H34"/>
    </sheetView>
  </sheetViews>
  <sheetFormatPr defaultRowHeight="14.5" x14ac:dyDescent="0.35"/>
  <cols>
    <col min="2" max="2" width="27" bestFit="1" customWidth="1"/>
    <col min="3" max="3" width="9.1796875" customWidth="1"/>
    <col min="5" max="5" width="19.1796875" style="221" customWidth="1"/>
    <col min="6" max="6" width="18.453125" style="221" customWidth="1"/>
    <col min="7" max="7" width="29.26953125" bestFit="1" customWidth="1"/>
    <col min="8" max="8" width="16" bestFit="1" customWidth="1"/>
    <col min="9" max="9" width="8" bestFit="1" customWidth="1"/>
    <col min="10" max="10" width="9.453125" bestFit="1" customWidth="1"/>
    <col min="11" max="11" width="8" bestFit="1" customWidth="1"/>
    <col min="13" max="13" width="32.26953125" bestFit="1" customWidth="1"/>
    <col min="14" max="14" width="10.54296875" bestFit="1" customWidth="1"/>
  </cols>
  <sheetData>
    <row r="3" spans="2:6" ht="15" thickBot="1" x14ac:dyDescent="0.4"/>
    <row r="4" spans="2:6" ht="15.5" x14ac:dyDescent="0.35">
      <c r="B4" s="778" t="s">
        <v>230</v>
      </c>
      <c r="C4" s="780" t="s">
        <v>234</v>
      </c>
      <c r="D4" s="413"/>
      <c r="E4" s="845" t="s">
        <v>483</v>
      </c>
      <c r="F4" s="846"/>
    </row>
    <row r="5" spans="2:6" ht="15.5" x14ac:dyDescent="0.35">
      <c r="B5" s="779"/>
      <c r="C5" s="781"/>
      <c r="D5" s="413"/>
      <c r="E5" s="685" t="s">
        <v>582</v>
      </c>
      <c r="F5" s="686" t="s">
        <v>583</v>
      </c>
    </row>
    <row r="6" spans="2:6" s="555" customFormat="1" ht="15.5" x14ac:dyDescent="0.35">
      <c r="B6" s="721" t="s">
        <v>553</v>
      </c>
      <c r="C6" s="722" t="s">
        <v>345</v>
      </c>
      <c r="E6" s="657">
        <f>+E30</f>
        <v>9466.1921708185037</v>
      </c>
      <c r="F6" s="658">
        <f>+H33</f>
        <v>9790.2422680412365</v>
      </c>
    </row>
    <row r="7" spans="2:6" s="555" customFormat="1" x14ac:dyDescent="0.35">
      <c r="B7" s="719" t="s">
        <v>267</v>
      </c>
      <c r="C7" s="720" t="s">
        <v>345</v>
      </c>
      <c r="E7" s="645">
        <f>+E31</f>
        <v>286.47686832740209</v>
      </c>
      <c r="F7" s="648">
        <f>+(H24/H21)+230/H21</f>
        <v>247.50000000000003</v>
      </c>
    </row>
    <row r="8" spans="2:6" s="555" customFormat="1" x14ac:dyDescent="0.35">
      <c r="B8" s="719" t="s">
        <v>493</v>
      </c>
      <c r="C8" s="720" t="s">
        <v>345</v>
      </c>
      <c r="E8" s="645">
        <f>+E32</f>
        <v>573.39857651245541</v>
      </c>
      <c r="F8" s="717">
        <f>+H25/H21</f>
        <v>6.0150000000000006</v>
      </c>
    </row>
    <row r="9" spans="2:6" s="555" customFormat="1" ht="15.5" x14ac:dyDescent="0.35">
      <c r="B9" s="721" t="s">
        <v>271</v>
      </c>
      <c r="C9" s="722" t="s">
        <v>345</v>
      </c>
      <c r="D9" s="723"/>
      <c r="E9" s="657">
        <f>E7+E8</f>
        <v>859.87544483985744</v>
      </c>
      <c r="F9" s="658">
        <f>F7+F8</f>
        <v>253.51500000000004</v>
      </c>
    </row>
    <row r="10" spans="2:6" s="555" customFormat="1" ht="15" thickBot="1" x14ac:dyDescent="0.4">
      <c r="B10" s="719"/>
      <c r="C10" s="720"/>
      <c r="E10" s="645"/>
      <c r="F10" s="648"/>
    </row>
    <row r="11" spans="2:6" s="555" customFormat="1" ht="15.5" x14ac:dyDescent="0.35">
      <c r="B11" s="754" t="s">
        <v>531</v>
      </c>
      <c r="C11" s="724" t="s">
        <v>186</v>
      </c>
      <c r="E11" s="676">
        <f>+E12/E17</f>
        <v>645.37922597864758</v>
      </c>
      <c r="F11" s="677">
        <f>+F12/F17</f>
        <v>627.73482925257724</v>
      </c>
    </row>
    <row r="12" spans="2:6" s="555" customFormat="1" ht="16" thickBot="1" x14ac:dyDescent="0.4">
      <c r="B12" s="755"/>
      <c r="C12" s="722" t="s">
        <v>345</v>
      </c>
      <c r="D12" s="723"/>
      <c r="E12" s="659">
        <f>+E9+E6</f>
        <v>10326.067615658361</v>
      </c>
      <c r="F12" s="660">
        <f>+F9+F6</f>
        <v>10043.757268041236</v>
      </c>
    </row>
    <row r="13" spans="2:6" s="555" customFormat="1" ht="16" thickBot="1" x14ac:dyDescent="0.4">
      <c r="B13" s="656"/>
      <c r="C13" s="413"/>
      <c r="D13" s="656"/>
      <c r="E13" s="536"/>
      <c r="F13" s="536"/>
    </row>
    <row r="14" spans="2:6" s="555" customFormat="1" ht="16" thickBot="1" x14ac:dyDescent="0.4">
      <c r="B14" s="687" t="s">
        <v>329</v>
      </c>
      <c r="C14" s="688" t="s">
        <v>345</v>
      </c>
      <c r="D14" s="445"/>
      <c r="E14" s="689">
        <f>+E16-E12</f>
        <v>541.37010676156569</v>
      </c>
      <c r="F14" s="690">
        <f>+F16-F12</f>
        <v>214.57606529209806</v>
      </c>
    </row>
    <row r="15" spans="2:6" ht="15" thickBot="1" x14ac:dyDescent="0.4"/>
    <row r="16" spans="2:6" ht="16" thickBot="1" x14ac:dyDescent="0.4">
      <c r="B16" s="687" t="s">
        <v>581</v>
      </c>
      <c r="C16" s="688"/>
      <c r="D16" s="445"/>
      <c r="E16" s="689">
        <f>+E29</f>
        <v>10867.437722419927</v>
      </c>
      <c r="F16" s="690">
        <f>+H22/H21</f>
        <v>10258.333333333334</v>
      </c>
    </row>
    <row r="17" spans="1:8" ht="16" thickBot="1" x14ac:dyDescent="0.4">
      <c r="B17" s="687" t="s">
        <v>190</v>
      </c>
      <c r="C17" s="688"/>
      <c r="D17" s="445"/>
      <c r="E17" s="689">
        <v>16</v>
      </c>
      <c r="F17" s="690">
        <v>16</v>
      </c>
    </row>
    <row r="19" spans="1:8" ht="15" thickBot="1" x14ac:dyDescent="0.4"/>
    <row r="20" spans="1:8" ht="15" thickBot="1" x14ac:dyDescent="0.4">
      <c r="B20" s="629" t="s">
        <v>566</v>
      </c>
      <c r="C20" s="763" t="s">
        <v>273</v>
      </c>
      <c r="D20" s="764" t="s">
        <v>580</v>
      </c>
      <c r="E20" s="765" t="s">
        <v>345</v>
      </c>
      <c r="F20"/>
      <c r="G20" s="847" t="s">
        <v>568</v>
      </c>
      <c r="H20" s="848"/>
    </row>
    <row r="21" spans="1:8" x14ac:dyDescent="0.35">
      <c r="B21" s="590" t="s">
        <v>567</v>
      </c>
      <c r="C21" s="756">
        <v>3.214</v>
      </c>
      <c r="D21" s="749"/>
      <c r="E21" s="740"/>
      <c r="F21"/>
      <c r="G21" s="725" t="s">
        <v>567</v>
      </c>
      <c r="H21" s="726">
        <v>1.2</v>
      </c>
    </row>
    <row r="22" spans="1:8" x14ac:dyDescent="0.35">
      <c r="B22" s="590" t="s">
        <v>560</v>
      </c>
      <c r="C22" s="757">
        <v>36099</v>
      </c>
      <c r="D22" s="750"/>
      <c r="E22" s="741">
        <f>C22/C21</f>
        <v>11231.798382078407</v>
      </c>
      <c r="F22" s="555"/>
      <c r="G22" s="725" t="s">
        <v>572</v>
      </c>
      <c r="H22" s="727">
        <f>12310</f>
        <v>12310</v>
      </c>
    </row>
    <row r="23" spans="1:8" x14ac:dyDescent="0.35">
      <c r="B23" s="719" t="s">
        <v>561</v>
      </c>
      <c r="C23" s="758">
        <v>30620</v>
      </c>
      <c r="D23" s="751"/>
      <c r="E23" s="742">
        <f>C23/C21</f>
        <v>9527.069072806471</v>
      </c>
      <c r="F23" s="555"/>
      <c r="G23" s="728" t="s">
        <v>573</v>
      </c>
      <c r="H23" s="727">
        <f>11169</f>
        <v>11169</v>
      </c>
    </row>
    <row r="24" spans="1:8" x14ac:dyDescent="0.35">
      <c r="B24" s="719" t="s">
        <v>564</v>
      </c>
      <c r="C24" s="758">
        <f>225.95+593.386</f>
        <v>819.33600000000001</v>
      </c>
      <c r="D24" s="751"/>
      <c r="E24" s="743">
        <f>C24/C21</f>
        <v>254.92719352831364</v>
      </c>
      <c r="F24" s="555"/>
      <c r="G24" s="728" t="s">
        <v>574</v>
      </c>
      <c r="H24" s="729">
        <f>67</f>
        <v>67</v>
      </c>
    </row>
    <row r="25" spans="1:8" ht="15" thickBot="1" x14ac:dyDescent="0.4">
      <c r="B25" s="719" t="s">
        <v>584</v>
      </c>
      <c r="C25" s="758">
        <f>-188.492+321.259</f>
        <v>132.76700000000002</v>
      </c>
      <c r="D25" s="751"/>
      <c r="E25" s="743">
        <f>C25/C21</f>
        <v>41.308960796515251</v>
      </c>
      <c r="F25" s="555"/>
      <c r="G25" s="730" t="s">
        <v>575</v>
      </c>
      <c r="H25" s="731">
        <f>7.218</f>
        <v>7.218</v>
      </c>
    </row>
    <row r="26" spans="1:8" ht="15" thickBot="1" x14ac:dyDescent="0.4">
      <c r="B26" s="719" t="s">
        <v>586</v>
      </c>
      <c r="C26" s="758">
        <v>1289</v>
      </c>
      <c r="D26" s="751"/>
      <c r="E26" s="743">
        <f>C26/C21</f>
        <v>401.05787181082763</v>
      </c>
      <c r="F26" s="555"/>
      <c r="G26" s="555"/>
      <c r="H26" s="555"/>
    </row>
    <row r="27" spans="1:8" ht="15" thickBot="1" x14ac:dyDescent="0.4">
      <c r="A27" s="582"/>
      <c r="B27" s="719" t="s">
        <v>329</v>
      </c>
      <c r="C27" s="766">
        <f>C22-C23-C24-C25-C26-23.015</f>
        <v>3214.8820000000001</v>
      </c>
      <c r="D27" s="750"/>
      <c r="E27" s="742">
        <f>C27/C21</f>
        <v>1000.2744243932794</v>
      </c>
      <c r="F27" s="555"/>
      <c r="G27" s="847" t="s">
        <v>579</v>
      </c>
      <c r="H27" s="848"/>
    </row>
    <row r="28" spans="1:8" x14ac:dyDescent="0.35">
      <c r="A28" s="582"/>
      <c r="B28" s="744" t="s">
        <v>565</v>
      </c>
      <c r="C28" s="759">
        <f>2.02+0.228</f>
        <v>2.2480000000000002</v>
      </c>
      <c r="D28" s="752">
        <f>C28/C21</f>
        <v>0.69943995021779726</v>
      </c>
      <c r="E28" s="748"/>
      <c r="F28" s="555"/>
      <c r="G28" s="728" t="s">
        <v>570</v>
      </c>
      <c r="H28" s="732">
        <v>0.51300000000000001</v>
      </c>
    </row>
    <row r="29" spans="1:8" x14ac:dyDescent="0.35">
      <c r="B29" s="744" t="s">
        <v>562</v>
      </c>
      <c r="C29" s="760">
        <v>24430</v>
      </c>
      <c r="D29" s="752">
        <f>+C29/C22</f>
        <v>0.67675004847779718</v>
      </c>
      <c r="E29" s="745">
        <f>C29/$C$28</f>
        <v>10867.437722419927</v>
      </c>
      <c r="F29" s="555"/>
      <c r="G29" s="728" t="s">
        <v>569</v>
      </c>
      <c r="H29" s="733">
        <f>H21/0.97</f>
        <v>1.2371134020618557</v>
      </c>
    </row>
    <row r="30" spans="1:8" x14ac:dyDescent="0.35">
      <c r="B30" s="744" t="s">
        <v>83</v>
      </c>
      <c r="C30" s="760">
        <f>+C29-3150</f>
        <v>21280</v>
      </c>
      <c r="D30" s="752">
        <f>+C30/C23</f>
        <v>0.69497060744611361</v>
      </c>
      <c r="E30" s="745">
        <f>C30/$C$28</f>
        <v>9466.1921708185037</v>
      </c>
      <c r="F30" s="555"/>
      <c r="G30" s="728" t="s">
        <v>585</v>
      </c>
      <c r="H30" s="734">
        <f>+H29-H28</f>
        <v>0.7241134020618557</v>
      </c>
    </row>
    <row r="31" spans="1:8" x14ac:dyDescent="0.35">
      <c r="B31" s="744" t="s">
        <v>563</v>
      </c>
      <c r="C31" s="761">
        <f>3150-2506</f>
        <v>644</v>
      </c>
      <c r="D31" s="752">
        <f>C31/C24</f>
        <v>0.78600232383295743</v>
      </c>
      <c r="E31" s="745">
        <f>C31/$C$28</f>
        <v>286.47686832740209</v>
      </c>
      <c r="F31" s="555"/>
      <c r="G31" s="728" t="s">
        <v>576</v>
      </c>
      <c r="H31" s="735">
        <f>+H30*800</f>
        <v>579.29072164948457</v>
      </c>
    </row>
    <row r="32" spans="1:8" ht="15" thickBot="1" x14ac:dyDescent="0.4">
      <c r="B32" s="746" t="s">
        <v>587</v>
      </c>
      <c r="C32" s="762">
        <f>+C26</f>
        <v>1289</v>
      </c>
      <c r="D32" s="753">
        <f>+C32/C26</f>
        <v>1</v>
      </c>
      <c r="E32" s="747">
        <f>C32/$C$28</f>
        <v>573.39857651245541</v>
      </c>
      <c r="F32"/>
      <c r="G32" s="728" t="s">
        <v>577</v>
      </c>
      <c r="H32" s="736">
        <f>+H31+H23</f>
        <v>11748.290721649484</v>
      </c>
    </row>
    <row r="33" spans="2:8" ht="15" thickBot="1" x14ac:dyDescent="0.4">
      <c r="B33" s="746" t="s">
        <v>329</v>
      </c>
      <c r="C33" s="762">
        <v>1605</v>
      </c>
      <c r="D33" s="753">
        <f>+C33/C27</f>
        <v>0.49924071863290781</v>
      </c>
      <c r="E33" s="747">
        <f>C33/$C$28</f>
        <v>713.96797153024909</v>
      </c>
      <c r="F33"/>
      <c r="G33" s="737" t="s">
        <v>571</v>
      </c>
      <c r="H33" s="767">
        <f>+H32/H21</f>
        <v>9790.2422680412365</v>
      </c>
    </row>
    <row r="34" spans="2:8" ht="15" thickBot="1" x14ac:dyDescent="0.4">
      <c r="B34" s="768" t="s">
        <v>588</v>
      </c>
      <c r="F34"/>
      <c r="G34" s="738" t="s">
        <v>578</v>
      </c>
      <c r="H34" s="739">
        <f>H33/F17</f>
        <v>611.89014175257728</v>
      </c>
    </row>
    <row r="35" spans="2:8" x14ac:dyDescent="0.35">
      <c r="C35" s="582"/>
    </row>
  </sheetData>
  <mergeCells count="5">
    <mergeCell ref="B4:B5"/>
    <mergeCell ref="C4:C5"/>
    <mergeCell ref="E4:F4"/>
    <mergeCell ref="G20:H20"/>
    <mergeCell ref="G27:H27"/>
  </mergeCells>
  <pageMargins left="0.7" right="0.7" top="0.75" bottom="0.75" header="0.3" footer="0.3"/>
  <pageSetup scale="8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15</vt:i4>
      </vt:variant>
    </vt:vector>
  </HeadingPairs>
  <TitlesOfParts>
    <vt:vector size="43" baseType="lpstr">
      <vt:lpstr>DRI Cost</vt:lpstr>
      <vt:lpstr>EZDK Rebar</vt:lpstr>
      <vt:lpstr>EFS Rebar</vt:lpstr>
      <vt:lpstr>ERM Rolling</vt:lpstr>
      <vt:lpstr>ESR Rebar</vt:lpstr>
      <vt:lpstr>EZDK Wire</vt:lpstr>
      <vt:lpstr>EZDK Flat</vt:lpstr>
      <vt:lpstr>EFS Flat</vt:lpstr>
      <vt:lpstr>Fixed Cost</vt:lpstr>
      <vt:lpstr>DRI</vt:lpstr>
      <vt:lpstr>Billet</vt:lpstr>
      <vt:lpstr>Rebar</vt:lpstr>
      <vt:lpstr>Wire</vt:lpstr>
      <vt:lpstr>Flat</vt:lpstr>
      <vt:lpstr>Market Share</vt:lpstr>
      <vt:lpstr>Production Requirments</vt:lpstr>
      <vt:lpstr>P&amp;L $ Monthly</vt:lpstr>
      <vt:lpstr>P&amp;L LE Monthly</vt:lpstr>
      <vt:lpstr>P&amp;L $ Annual</vt:lpstr>
      <vt:lpstr>P&amp;L LE Annual</vt:lpstr>
      <vt:lpstr>P&amp;L Sc2</vt:lpstr>
      <vt:lpstr>Production Plan Monthly</vt:lpstr>
      <vt:lpstr>BS</vt:lpstr>
      <vt:lpstr>Sheet1</vt:lpstr>
      <vt:lpstr>Sheet2</vt:lpstr>
      <vt:lpstr>Sheet4</vt:lpstr>
      <vt:lpstr>Sheet5</vt:lpstr>
      <vt:lpstr>Sheet6</vt:lpstr>
      <vt:lpstr>Billet!Print_Area</vt:lpstr>
      <vt:lpstr>DRI!Print_Area</vt:lpstr>
      <vt:lpstr>'DRI Cost'!Print_Area</vt:lpstr>
      <vt:lpstr>'ERM Rolling'!Print_Area</vt:lpstr>
      <vt:lpstr>'EZDK Wire'!Print_Area</vt:lpstr>
      <vt:lpstr>'Fixed Cost'!Print_Area</vt:lpstr>
      <vt:lpstr>Flat!Print_Area</vt:lpstr>
      <vt:lpstr>'Market Share'!Print_Area</vt:lpstr>
      <vt:lpstr>'P&amp;L Sc2'!Print_Area</vt:lpstr>
      <vt:lpstr>'Production Requirments'!Print_Area</vt:lpstr>
      <vt:lpstr>Rebar!Print_Area</vt:lpstr>
      <vt:lpstr>Sheet1!Print_Area</vt:lpstr>
      <vt:lpstr>Wire!Print_Area</vt:lpstr>
      <vt:lpstr>'ERM Rolling'!Print_Titles</vt:lpstr>
      <vt:lpstr>'EZDK Wire'!Print_Titles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A. Moustafa</dc:creator>
  <cp:lastModifiedBy>Ahmed A. Moustafa</cp:lastModifiedBy>
  <cp:lastPrinted>2019-12-31T07:46:52Z</cp:lastPrinted>
  <dcterms:created xsi:type="dcterms:W3CDTF">2019-11-02T10:29:07Z</dcterms:created>
  <dcterms:modified xsi:type="dcterms:W3CDTF">2026-10-08T01:10:39Z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aa707a-86d5-490b-978f-37cfc09016b4_Enabled">
    <vt:lpwstr>True</vt:lpwstr>
  </property>
  <property fmtid="{D5CDD505-2E9C-101B-9397-08002B2CF9AE}" pid="3" name="MSIP_Label_d5aa707a-86d5-490b-978f-37cfc09016b4_SiteId">
    <vt:lpwstr>9f136fef-4529-475f-98e6-d271eb04eb00</vt:lpwstr>
  </property>
  <property fmtid="{D5CDD505-2E9C-101B-9397-08002B2CF9AE}" pid="4" name="MSIP_Label_d5aa707a-86d5-490b-978f-37cfc09016b4_Owner">
    <vt:lpwstr>amoustafa@ezzsteel.com.eg</vt:lpwstr>
  </property>
  <property fmtid="{D5CDD505-2E9C-101B-9397-08002B2CF9AE}" pid="5" name="MSIP_Label_d5aa707a-86d5-490b-978f-37cfc09016b4_SetDate">
    <vt:lpwstr>2019-11-03T19:21:32.6492943Z</vt:lpwstr>
  </property>
  <property fmtid="{D5CDD505-2E9C-101B-9397-08002B2CF9AE}" pid="6" name="MSIP_Label_d5aa707a-86d5-490b-978f-37cfc09016b4_Name">
    <vt:lpwstr>EZDK Business</vt:lpwstr>
  </property>
  <property fmtid="{D5CDD505-2E9C-101B-9397-08002B2CF9AE}" pid="7" name="MSIP_Label_d5aa707a-86d5-490b-978f-37cfc09016b4_Application">
    <vt:lpwstr>Microsoft Azure Information Protection</vt:lpwstr>
  </property>
  <property fmtid="{D5CDD505-2E9C-101B-9397-08002B2CF9AE}" pid="8" name="MSIP_Label_d5aa707a-86d5-490b-978f-37cfc09016b4_ActionId">
    <vt:lpwstr>3ad0173e-6262-4415-8a9f-0d7079afc6dd</vt:lpwstr>
  </property>
  <property fmtid="{D5CDD505-2E9C-101B-9397-08002B2CF9AE}" pid="9" name="MSIP_Label_d5aa707a-86d5-490b-978f-37cfc09016b4_Extended_MSFT_Method">
    <vt:lpwstr>Automatic</vt:lpwstr>
  </property>
  <property fmtid="{D5CDD505-2E9C-101B-9397-08002B2CF9AE}" pid="10" name="Sensitivity">
    <vt:lpwstr>EZDK Business</vt:lpwstr>
  </property>
</Properties>
</file>